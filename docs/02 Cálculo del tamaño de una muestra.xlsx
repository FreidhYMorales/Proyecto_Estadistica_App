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nEstProConN" sheetId="1" state="visible" r:id="rId1"/>
    <sheet name="nEstProSinN" sheetId="2" state="visible" r:id="rId2"/>
    <sheet name="nEstMedConN" sheetId="3" state="visible" r:id="rId3"/>
    <sheet name="nEstMedSinN" sheetId="4" state="visible" r:id="rId4"/>
  </sheets>
  <definedNames>
    <definedName name="d" localSheetId="1">nEstProSinN!#REF!</definedName>
    <definedName name="N" localSheetId="1">nEstProSinN!#REF!</definedName>
    <definedName name="p" localSheetId="1">nEstProSinN!#REF!</definedName>
    <definedName name="q" localSheetId="1">nEstProSinN!#REF!</definedName>
    <definedName name="Za" localSheetId="1">nEstProSinN!#REF!</definedName>
    <definedName name="d" localSheetId="2">nEstMedConN!#REF!</definedName>
    <definedName name="N" localSheetId="2">nEstMedConN!#REF!</definedName>
    <definedName name="p" localSheetId="2">nEstMedConN!#REF!</definedName>
    <definedName name="q" localSheetId="2">nEstMedConN!#REF!</definedName>
    <definedName name="Za" localSheetId="2">nEstMedConN!#REF!</definedName>
    <definedName name="d" localSheetId="3">nEstMedSinN!#REF!</definedName>
    <definedName name="N" localSheetId="3">nEstMedSinN!#REF!</definedName>
    <definedName name="p" localSheetId="3">nEstMedSinN!#REF!</definedName>
    <definedName name="q" localSheetId="3">nEstMedSinN!#REF!</definedName>
    <definedName name="Za" localSheetId="3">nEstMedSinN!#REF!</definedName>
    <definedName name="d">nEstProConN!$J$14</definedName>
    <definedName name="N">nEstProConN!$J$10</definedName>
    <definedName name="p">nEstProConN!$J$12</definedName>
    <definedName name="q">nEstProConN!$J$13</definedName>
    <definedName name="Za">nEstProConN!$J$11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<sst xmlns="http://schemas.openxmlformats.org/spreadsheetml/2006/main" count="28" uniqueCount="28">
  <si>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TAMAÑO DE MUESTRA PARA ESTIMACIÓN DE PROPORCIONES </t>
  </si>
  <si>
    <t xml:space="preserve">CUANDO SE CONOCE EL TAMAÑO DE LA POBLACIÓN</t>
  </si>
  <si>
    <t>NC</t>
  </si>
  <si>
    <t xml:space="preserve">Nivel de confianza</t>
  </si>
  <si>
    <t xml:space="preserve">NS (alfa)</t>
  </si>
  <si>
    <t xml:space="preserve">Nivel de significación o significancia</t>
  </si>
  <si>
    <t>Referencias</t>
  </si>
  <si>
    <t xml:space="preserve">N = tamaño de la población</t>
  </si>
  <si>
    <t>N</t>
  </si>
  <si>
    <t xml:space="preserve">Tamaño de la poblacion</t>
  </si>
  <si>
    <t xml:space="preserve">Za = nivel de confianza (coeficiente equivalente)</t>
  </si>
  <si>
    <t>Za</t>
  </si>
  <si>
    <t xml:space="preserve">p = probabilidad de éxito (proporción esperada)</t>
  </si>
  <si>
    <t>p</t>
  </si>
  <si>
    <t xml:space="preserve">Se usa una proporción esperada, según estudios previos. Si no hay, usar 50% (para maximizar la muestra)</t>
  </si>
  <si>
    <t xml:space="preserve">q = probabilidad de fracaso</t>
  </si>
  <si>
    <t>q</t>
  </si>
  <si>
    <t xml:space="preserve">d = precisión (error máximo admisible en términos de proporción)</t>
  </si>
  <si>
    <t>d</t>
  </si>
  <si>
    <t>n</t>
  </si>
  <si>
    <t xml:space="preserve">Tamaño de la muestra</t>
  </si>
  <si>
    <t xml:space="preserve">Porc. Perdidas</t>
  </si>
  <si>
    <t>n(c)</t>
  </si>
  <si>
    <t xml:space="preserve">CUANDO SE DESCONOCE EL TAMAÑO DE LA POBLACIÓN</t>
  </si>
  <si>
    <t xml:space="preserve">TAMAÑO DE MUESTRA PARA ESTIMACIÓN DE MEDIAS</t>
  </si>
  <si>
    <t xml:space="preserve">Tamaño de la población</t>
  </si>
  <si>
    <t xml:space="preserve">s = desviación estándar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</si>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</sst>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9.000000"/>
      <color theme="5"/>
      <name val="Calibri"/>
      <scheme val="minor"/>
    </font>
    <font>
      <i/>
      <sz val="9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39997558519241921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24">
    <xf fontId="0" fillId="0" borderId="0" numFmtId="0" xfId="0"/>
    <xf fontId="1" fillId="0" borderId="0" numFmtId="0" xfId="0" applyFont="1"/>
    <xf fontId="0" fillId="0" borderId="0" numFmtId="0" xfId="0"/>
    <xf fontId="0" fillId="0" borderId="1" numFmtId="0" xfId="0" applyBorder="1"/>
    <xf fontId="0" fillId="2" borderId="1" numFmtId="10" xfId="1" applyNumberFormat="1" applyFill="1" applyBorder="1"/>
    <xf fontId="2" fillId="0" borderId="0" numFmtId="0" xfId="0" applyFont="1"/>
    <xf fontId="0" fillId="0" borderId="1" numFmtId="10" xfId="1" applyNumberFormat="1" applyBorder="1"/>
    <xf fontId="0" fillId="0" borderId="0" numFmtId="0" xfId="0">
      <protection hidden="0" locked="1"/>
    </xf>
    <xf fontId="0" fillId="2" borderId="1" numFmtId="3" xfId="0" applyNumberFormat="1" applyFill="1" applyBorder="1"/>
    <xf fontId="3" fillId="0" borderId="0" numFmtId="0" xfId="0" applyFont="1"/>
    <xf fontId="0" fillId="0" borderId="1" numFmtId="2" xfId="0" applyNumberFormat="1" applyBorder="1"/>
    <xf fontId="0" fillId="3" borderId="1" numFmtId="0" xfId="0" applyFill="1" applyBorder="1"/>
    <xf fontId="0" fillId="0" borderId="2" numFmtId="0" xfId="0" applyBorder="1"/>
    <xf fontId="0" fillId="4" borderId="2" numFmtId="10" xfId="0" applyNumberFormat="1" applyFill="1" applyBorder="1"/>
    <xf fontId="0" fillId="4" borderId="2" numFmtId="0" xfId="0" applyFill="1" applyBorder="1">
      <protection hidden="0" locked="1"/>
    </xf>
    <xf fontId="0" fillId="0" borderId="3" numFmtId="0" xfId="0" applyBorder="1">
      <protection hidden="0" locked="1"/>
    </xf>
    <xf fontId="0" fillId="0" borderId="4" numFmtId="0" xfId="0" applyBorder="1">
      <protection hidden="0" locked="1"/>
    </xf>
    <xf fontId="0" fillId="0" borderId="5" numFmtId="0" xfId="0" applyBorder="1">
      <protection hidden="0" locked="1"/>
    </xf>
    <xf fontId="0" fillId="0" borderId="6" numFmtId="0" xfId="0" applyBorder="1"/>
    <xf fontId="0" fillId="0" borderId="6" numFmtId="10" xfId="1" applyNumberFormat="1" applyBorder="1"/>
    <xf fontId="0" fillId="2" borderId="2" numFmtId="10" xfId="1" applyNumberFormat="1" applyFill="1" applyBorder="1"/>
    <xf fontId="0" fillId="5" borderId="2" numFmtId="0" xfId="0" applyFill="1" applyBorder="1"/>
    <xf fontId="0" fillId="0" borderId="7" numFmtId="0" xfId="0" applyBorder="1">
      <protection hidden="0" locked="1"/>
    </xf>
    <xf fontId="0" fillId="5" borderId="1" numFmtId="3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47625</xdr:colOff>
      <xdr:row>2</xdr:row>
      <xdr:rowOff>145543</xdr:rowOff>
    </xdr:from>
    <xdr:to>
      <xdr:col>3</xdr:col>
      <xdr:colOff>533054</xdr:colOff>
      <xdr:row>7</xdr:row>
      <xdr:rowOff>50186</xdr:rowOff>
    </xdr:to>
    <xdr:pic>
      <xdr:nvPicPr>
        <xdr:cNvPr id="2" name="Imagen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47625" y="526543"/>
          <a:ext cx="2771429" cy="857143"/>
        </a:xfrm>
        <a:prstGeom prst="rect">
          <a:avLst/>
        </a:prstGeom>
        <a:ln>
          <a:solidFill>
            <a:schemeClr val="accent5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495299</xdr:colOff>
      <xdr:row>2</xdr:row>
      <xdr:rowOff>123824</xdr:rowOff>
    </xdr:from>
    <xdr:ext cx="1400174" cy="723899"/>
    <xdr:pic>
      <xdr:nvPicPr>
        <xdr:cNvPr id="708553228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495299" y="479424"/>
          <a:ext cx="1400174" cy="72389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333374</xdr:colOff>
      <xdr:row>2</xdr:row>
      <xdr:rowOff>76199</xdr:rowOff>
    </xdr:from>
    <xdr:ext cx="2400299" cy="895349"/>
    <xdr:pic>
      <xdr:nvPicPr>
        <xdr:cNvPr id="51749190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33374" y="431799"/>
          <a:ext cx="2400300" cy="89534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619124</xdr:colOff>
      <xdr:row>2</xdr:row>
      <xdr:rowOff>123824</xdr:rowOff>
    </xdr:from>
    <xdr:ext cx="1571625" cy="638174"/>
    <xdr:pic>
      <xdr:nvPicPr>
        <xdr:cNvPr id="1163899393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619124" y="479424"/>
          <a:ext cx="1571625" cy="63817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30" workbookViewId="0">
      <selection activeCell="B22" activeCellId="0" sqref="B22"/>
    </sheetView>
  </sheetViews>
  <sheetFormatPr baseColWidth="10" defaultRowHeight="14.25"/>
  <cols>
    <col bestFit="1" min="5" max="5" width="13.09375"/>
    <col customWidth="1" min="8" max="8" width="14.00390625"/>
    <col bestFit="1" min="9" max="9" width="13.09375"/>
  </cols>
  <sheetData>
    <row r="1">
      <c r="A1" s="1" t="s">
        <v>0</v>
      </c>
    </row>
    <row r="2">
      <c r="A2" s="2" t="s">
        <v>1</v>
      </c>
    </row>
    <row r="7">
      <c r="I7" s="3" t="s">
        <v>2</v>
      </c>
      <c r="J7" s="4">
        <v>0.94999999999999996</v>
      </c>
      <c r="K7" s="5" t="s">
        <v>3</v>
      </c>
    </row>
    <row r="8">
      <c r="I8" s="3" t="s">
        <v>4</v>
      </c>
      <c r="J8" s="6">
        <f>1-J7</f>
        <v>0.050000000000000044</v>
      </c>
      <c r="K8" s="5" t="s">
        <v>5</v>
      </c>
    </row>
    <row r="9">
      <c r="A9" t="s">
        <v>6</v>
      </c>
      <c r="K9" s="7"/>
    </row>
    <row r="10">
      <c r="A10" t="s">
        <v>7</v>
      </c>
      <c r="I10" s="3" t="s">
        <v>8</v>
      </c>
      <c r="J10" s="8">
        <v>85000</v>
      </c>
      <c r="K10" s="9" t="s">
        <v>9</v>
      </c>
    </row>
    <row r="11">
      <c r="A11" t="s">
        <v>10</v>
      </c>
      <c r="I11" s="3" t="s">
        <v>11</v>
      </c>
      <c r="J11" s="10">
        <f>_xlfn.NORM.S.INV(J7+J8/2)</f>
        <v>1.9599639845400536</v>
      </c>
    </row>
    <row r="12">
      <c r="A12" t="s">
        <v>12</v>
      </c>
      <c r="I12" s="3" t="s">
        <v>13</v>
      </c>
      <c r="J12" s="4">
        <v>0.5</v>
      </c>
      <c r="K12" s="9" t="s">
        <v>14</v>
      </c>
    </row>
    <row r="13">
      <c r="A13" t="s">
        <v>15</v>
      </c>
      <c r="I13" s="3" t="s">
        <v>16</v>
      </c>
      <c r="J13" s="6">
        <f>1-p</f>
        <v>0.5</v>
      </c>
      <c r="K13" s="7"/>
    </row>
    <row r="14">
      <c r="A14" t="s">
        <v>17</v>
      </c>
      <c r="I14" s="3" t="s">
        <v>18</v>
      </c>
      <c r="J14" s="4">
        <v>0.029999999999999999</v>
      </c>
      <c r="K14" s="7"/>
    </row>
    <row r="16">
      <c r="I16" s="3" t="s">
        <v>19</v>
      </c>
      <c r="J16" s="11">
        <f>ROUNDUP((N*(Za^2)*p*q)/(((d^2)*(N-1))+((Za^2)*p*q)),0)</f>
        <v>1054</v>
      </c>
      <c r="K16" s="9" t="s">
        <v>20</v>
      </c>
    </row>
    <row r="18" ht="14.25">
      <c r="I18" s="12" t="s">
        <v>21</v>
      </c>
      <c r="J18" s="13">
        <v>0.10000000000000001</v>
      </c>
    </row>
    <row r="19" ht="14.25">
      <c r="I19" s="7"/>
      <c r="J19" s="7"/>
    </row>
    <row r="20" ht="14.25">
      <c r="I20" s="12" t="s">
        <v>22</v>
      </c>
      <c r="J20" s="14">
        <f>ROUNDUP((J16/(1-J18)),0)</f>
        <v>1172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5" zoomScale="130" workbookViewId="0">
      <selection activeCell="A1" activeCellId="0" sqref="A1"/>
    </sheetView>
  </sheetViews>
  <sheetFormatPr baseColWidth="10" defaultRowHeight="14.25"/>
  <cols>
    <col bestFit="1" min="7" max="7" width="13.09375"/>
  </cols>
  <sheetData>
    <row r="1">
      <c r="A1" s="1" t="s">
        <v>0</v>
      </c>
    </row>
    <row r="2">
      <c r="A2" s="2" t="s">
        <v>23</v>
      </c>
    </row>
    <row r="3" ht="14.25">
      <c r="A3" s="7"/>
      <c r="B3" s="7"/>
      <c r="C3" s="7"/>
      <c r="D3" s="7"/>
      <c r="E3" s="7"/>
      <c r="F3" s="7"/>
      <c r="G3" s="7"/>
      <c r="H3" s="7"/>
      <c r="I3" s="7"/>
      <c r="J3" s="7"/>
    </row>
    <row r="4" ht="14.25">
      <c r="A4" s="7"/>
      <c r="B4" s="7"/>
      <c r="C4" s="7"/>
      <c r="D4" s="7"/>
      <c r="E4" s="7"/>
      <c r="F4" s="7"/>
      <c r="G4" s="7"/>
      <c r="H4" s="7"/>
      <c r="I4" s="7"/>
      <c r="J4" s="7"/>
    </row>
    <row r="5" ht="14.25">
      <c r="A5" s="7"/>
      <c r="B5" s="7"/>
      <c r="C5" s="7"/>
      <c r="D5" s="7"/>
      <c r="E5" s="7"/>
      <c r="F5" s="7"/>
      <c r="G5" s="7"/>
      <c r="H5" s="7"/>
      <c r="I5" s="7"/>
      <c r="J5" s="7"/>
    </row>
    <row r="6" ht="14.25">
      <c r="A6" s="7"/>
      <c r="B6" s="7"/>
      <c r="C6" s="7"/>
      <c r="D6" s="7"/>
      <c r="E6" s="7"/>
      <c r="F6" s="7"/>
      <c r="G6" s="15"/>
      <c r="H6" s="15"/>
      <c r="I6" s="7"/>
      <c r="J6" s="7"/>
    </row>
    <row r="7" ht="14.25">
      <c r="A7" s="7"/>
      <c r="B7" s="7"/>
      <c r="C7" s="7"/>
      <c r="D7" s="7"/>
      <c r="E7" s="7"/>
      <c r="F7" s="16"/>
      <c r="G7" s="3" t="s">
        <v>2</v>
      </c>
      <c r="H7" s="4">
        <v>0.98999999999999999</v>
      </c>
      <c r="I7" s="5" t="s">
        <v>3</v>
      </c>
      <c r="J7" s="7"/>
    </row>
    <row r="8" ht="14.25">
      <c r="A8" s="7"/>
      <c r="B8" s="7"/>
      <c r="C8" s="7"/>
      <c r="D8" s="7"/>
      <c r="E8" s="7"/>
      <c r="F8" s="16"/>
      <c r="G8" s="3" t="s">
        <v>4</v>
      </c>
      <c r="H8" s="6">
        <v>0.01</v>
      </c>
      <c r="I8" s="5" t="s">
        <v>5</v>
      </c>
      <c r="J8" s="7"/>
    </row>
    <row r="9" ht="14.25">
      <c r="A9" s="7" t="s">
        <v>6</v>
      </c>
      <c r="B9" s="7"/>
      <c r="C9" s="7"/>
      <c r="D9" s="7"/>
      <c r="E9" s="7"/>
      <c r="F9" s="7"/>
      <c r="G9" s="17"/>
      <c r="H9" s="17"/>
      <c r="I9" s="7"/>
      <c r="J9" s="7"/>
    </row>
    <row r="10" ht="14.25">
      <c r="A10" s="7" t="s">
        <v>10</v>
      </c>
      <c r="B10" s="7"/>
      <c r="C10" s="7"/>
      <c r="D10" s="7"/>
      <c r="E10" s="7"/>
      <c r="F10" s="16"/>
      <c r="G10" s="3" t="s">
        <v>11</v>
      </c>
      <c r="H10" s="10">
        <f>_xlfn.NORM.S.INV(H7+H8/2)</f>
        <v>2.5758293035488999</v>
      </c>
      <c r="I10" s="7"/>
      <c r="J10" s="7"/>
    </row>
    <row r="11" ht="14.25">
      <c r="A11" s="7" t="s">
        <v>12</v>
      </c>
      <c r="B11" s="7"/>
      <c r="C11" s="7"/>
      <c r="D11" s="7"/>
      <c r="E11" s="7"/>
      <c r="F11" s="16"/>
      <c r="G11" s="3" t="s">
        <v>13</v>
      </c>
      <c r="H11" s="4">
        <v>0.050000000000000003</v>
      </c>
      <c r="I11" s="9" t="s">
        <v>14</v>
      </c>
      <c r="J11" s="7"/>
    </row>
    <row r="12" ht="14.25">
      <c r="A12" s="7" t="s">
        <v>15</v>
      </c>
      <c r="B12" s="7"/>
      <c r="C12" s="7"/>
      <c r="D12" s="7"/>
      <c r="E12" s="7"/>
      <c r="F12" s="16"/>
      <c r="G12" s="18" t="s">
        <v>16</v>
      </c>
      <c r="H12" s="19">
        <f>1-H11</f>
        <v>0.94999999999999996</v>
      </c>
      <c r="I12" s="7"/>
      <c r="J12" s="7"/>
    </row>
    <row r="13" ht="14.25">
      <c r="A13" s="7" t="s">
        <v>17</v>
      </c>
      <c r="B13" s="7"/>
      <c r="C13" s="7"/>
      <c r="D13" s="7"/>
      <c r="E13" s="7"/>
      <c r="F13" s="7"/>
      <c r="G13" s="12" t="s">
        <v>18</v>
      </c>
      <c r="H13" s="20">
        <v>0.050000000000000003</v>
      </c>
      <c r="I13" s="7"/>
      <c r="J13" s="7"/>
    </row>
    <row r="14" ht="14.25">
      <c r="B14" s="7"/>
      <c r="C14" s="7"/>
      <c r="D14" s="7"/>
      <c r="E14" s="7"/>
      <c r="F14" s="7"/>
      <c r="G14" s="7"/>
      <c r="H14" s="7"/>
      <c r="I14" s="7"/>
      <c r="J14" s="7"/>
    </row>
    <row r="15" ht="14.25">
      <c r="A15" s="7"/>
      <c r="B15" s="7"/>
      <c r="C15" s="7"/>
      <c r="D15" s="7"/>
      <c r="E15" s="7"/>
      <c r="F15" s="7"/>
      <c r="G15" s="12" t="s">
        <v>19</v>
      </c>
      <c r="H15" s="21">
        <f>ROUNDUP((((H10)^2)*H11*H12)/((H13)^2),0)</f>
        <v>127</v>
      </c>
      <c r="I15" s="9" t="s">
        <v>20</v>
      </c>
      <c r="J15" s="7"/>
    </row>
    <row r="16" ht="14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ht="14.25">
      <c r="G17" s="12" t="s">
        <v>21</v>
      </c>
      <c r="H17" s="13">
        <v>0.10000000000000001</v>
      </c>
    </row>
    <row r="18" ht="14.25">
      <c r="G18" s="22"/>
      <c r="H18" s="22"/>
    </row>
    <row r="19" ht="14.25">
      <c r="G19" s="12" t="s">
        <v>22</v>
      </c>
      <c r="H19" s="14">
        <f>ROUNDUP((H15/(1-H17)),0)</f>
        <v>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30" workbookViewId="0">
      <selection activeCell="A1" activeCellId="0" sqref="A1"/>
    </sheetView>
  </sheetViews>
  <sheetFormatPr baseColWidth="10" defaultRowHeight="14.25"/>
  <cols>
    <col bestFit="1" min="7" max="7" width="13.09375"/>
  </cols>
  <sheetData>
    <row r="1">
      <c r="A1" s="1" t="s">
        <v>24</v>
      </c>
    </row>
    <row r="2">
      <c r="A2" s="2" t="s">
        <v>1</v>
      </c>
    </row>
    <row r="3" ht="14.25">
      <c r="A3" s="7"/>
      <c r="B3" s="7"/>
      <c r="C3" s="7"/>
      <c r="D3" s="7"/>
      <c r="E3" s="7"/>
      <c r="F3" s="7"/>
      <c r="G3" s="7"/>
      <c r="H3" s="7"/>
      <c r="I3" s="7"/>
    </row>
    <row r="4" ht="14.25">
      <c r="A4" s="7"/>
      <c r="B4" s="7"/>
      <c r="C4" s="7"/>
      <c r="D4" s="7"/>
      <c r="E4" s="7"/>
      <c r="F4" s="7"/>
      <c r="G4" s="7"/>
      <c r="H4" s="7"/>
      <c r="I4" s="7"/>
    </row>
    <row r="5" ht="14.25">
      <c r="A5" s="7"/>
      <c r="B5" s="7"/>
      <c r="C5" s="7"/>
      <c r="D5" s="7"/>
      <c r="E5" s="7"/>
      <c r="F5" s="7"/>
      <c r="G5" s="7"/>
      <c r="H5" s="7"/>
      <c r="I5" s="7"/>
    </row>
    <row r="6" ht="14.25">
      <c r="A6" s="7"/>
      <c r="B6" s="7"/>
      <c r="C6" s="7"/>
      <c r="D6" s="7"/>
      <c r="E6" s="7"/>
      <c r="F6" s="7"/>
      <c r="G6" s="15"/>
      <c r="H6" s="15"/>
      <c r="I6" s="7"/>
    </row>
    <row r="7" ht="14.25">
      <c r="A7" s="7"/>
      <c r="B7" s="7"/>
      <c r="C7" s="7"/>
      <c r="D7" s="7"/>
      <c r="E7" s="7"/>
      <c r="F7" s="16"/>
      <c r="G7" s="3" t="s">
        <v>2</v>
      </c>
      <c r="H7" s="4">
        <v>0.94999999999999996</v>
      </c>
      <c r="I7" s="5" t="s">
        <v>3</v>
      </c>
    </row>
    <row r="8" ht="14.25">
      <c r="A8" s="7"/>
      <c r="B8" s="7"/>
      <c r="C8" s="7"/>
      <c r="D8" s="7"/>
      <c r="E8" s="7"/>
      <c r="F8" s="16"/>
      <c r="G8" s="3" t="s">
        <v>4</v>
      </c>
      <c r="H8" s="6">
        <v>0.01</v>
      </c>
      <c r="I8" s="5" t="s">
        <v>5</v>
      </c>
    </row>
    <row r="9" ht="14.25">
      <c r="A9" s="7" t="s">
        <v>6</v>
      </c>
      <c r="B9" s="7"/>
      <c r="C9" s="7"/>
      <c r="D9" s="7"/>
      <c r="E9" s="7"/>
      <c r="F9" s="7"/>
      <c r="G9" s="17"/>
      <c r="H9" s="17"/>
      <c r="I9" s="7"/>
    </row>
    <row r="10" ht="14.25">
      <c r="A10" s="7" t="s">
        <v>7</v>
      </c>
      <c r="B10" s="7"/>
      <c r="C10" s="7"/>
      <c r="D10" s="7"/>
      <c r="E10" s="7"/>
      <c r="F10" s="16"/>
      <c r="G10" s="3" t="s">
        <v>8</v>
      </c>
      <c r="H10" s="8">
        <v>15000</v>
      </c>
      <c r="I10" s="9" t="s">
        <v>25</v>
      </c>
    </row>
    <row r="11" ht="14.25">
      <c r="A11" s="7" t="s">
        <v>10</v>
      </c>
      <c r="B11" s="7"/>
      <c r="C11" s="7"/>
      <c r="D11" s="7"/>
      <c r="E11" s="7"/>
      <c r="F11" s="16"/>
      <c r="G11" s="3" t="s">
        <v>11</v>
      </c>
      <c r="H11" s="10">
        <f>_xlfn.NORM.S.INV(H7+H8/2)</f>
        <v>1.6953977102721358</v>
      </c>
      <c r="I11" s="7"/>
    </row>
    <row r="12" ht="14.25">
      <c r="A12" s="7" t="s">
        <v>26</v>
      </c>
      <c r="B12" s="7"/>
      <c r="C12" s="7"/>
      <c r="D12" s="7"/>
      <c r="E12" s="7"/>
      <c r="F12" s="16"/>
      <c r="G12" s="3" t="s">
        <v>27</v>
      </c>
      <c r="H12" s="4">
        <v>0.5</v>
      </c>
      <c r="I12" s="9" t="s">
        <v>14</v>
      </c>
    </row>
    <row r="13" ht="14.25">
      <c r="A13" s="7" t="s">
        <v>17</v>
      </c>
      <c r="B13" s="7"/>
      <c r="C13" s="7"/>
      <c r="D13" s="7"/>
      <c r="E13" s="7"/>
      <c r="F13" s="16"/>
      <c r="G13" s="3" t="s">
        <v>18</v>
      </c>
      <c r="H13" s="4">
        <v>0.01</v>
      </c>
      <c r="I13" s="7"/>
    </row>
    <row r="14" ht="14.25">
      <c r="A14" s="7"/>
      <c r="B14" s="7"/>
      <c r="C14" s="7"/>
      <c r="D14" s="7"/>
      <c r="E14" s="7"/>
      <c r="F14" s="7"/>
      <c r="G14" s="17"/>
      <c r="H14" s="17"/>
      <c r="I14" s="7"/>
    </row>
    <row r="15" ht="14.25">
      <c r="A15" s="7"/>
      <c r="B15" s="7"/>
      <c r="C15" s="7"/>
      <c r="D15" s="7"/>
      <c r="E15" s="7"/>
      <c r="F15" s="16"/>
      <c r="G15" s="3" t="s">
        <v>19</v>
      </c>
      <c r="H15" s="23">
        <f>ROUNDUP(((H10*((H11)^2)*((H12)^2))/(((H13)^2)*(H10-1)+((H11)^2)*((H12)^2))),0)</f>
        <v>4859</v>
      </c>
      <c r="I15" s="9" t="s">
        <v>20</v>
      </c>
    </row>
    <row r="17" ht="14.25">
      <c r="G17" s="12" t="s">
        <v>21</v>
      </c>
      <c r="H17" s="13">
        <v>0.10000000000000001</v>
      </c>
    </row>
    <row r="18" ht="14.25">
      <c r="G18" s="22"/>
      <c r="H18" s="22"/>
    </row>
    <row r="19" ht="14.25">
      <c r="G19" s="12" t="s">
        <v>22</v>
      </c>
      <c r="H19" s="14">
        <f>ROUNDUP((H15/(1-H17)),0)</f>
        <v>5399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30" workbookViewId="0">
      <selection activeCell="A1" activeCellId="0" sqref="A1"/>
    </sheetView>
  </sheetViews>
  <sheetFormatPr baseColWidth="10" defaultRowHeight="14.25"/>
  <cols>
    <col bestFit="1" min="7" max="7" width="13.09375"/>
  </cols>
  <sheetData>
    <row r="1">
      <c r="A1" s="1" t="s">
        <v>24</v>
      </c>
    </row>
    <row r="2">
      <c r="A2" s="2" t="s">
        <v>23</v>
      </c>
    </row>
    <row r="3" ht="14.25">
      <c r="A3" s="7"/>
      <c r="B3" s="7"/>
      <c r="C3" s="7"/>
      <c r="D3" s="7"/>
      <c r="E3" s="7"/>
      <c r="F3" s="7"/>
      <c r="G3" s="7"/>
      <c r="H3" s="7"/>
      <c r="I3" s="7"/>
    </row>
    <row r="4" ht="14.25">
      <c r="A4" s="7"/>
      <c r="B4" s="7"/>
      <c r="C4" s="7"/>
      <c r="D4" s="7"/>
      <c r="E4" s="7"/>
      <c r="F4" s="7"/>
      <c r="G4" s="7"/>
      <c r="H4" s="7"/>
      <c r="I4" s="7"/>
    </row>
    <row r="5" ht="14.25">
      <c r="A5" s="7"/>
      <c r="B5" s="7"/>
      <c r="C5" s="7"/>
      <c r="D5" s="7"/>
      <c r="E5" s="7"/>
      <c r="F5" s="7"/>
      <c r="G5" s="7"/>
      <c r="H5" s="7"/>
      <c r="I5" s="7"/>
    </row>
    <row r="6" ht="14.25">
      <c r="A6" s="7"/>
      <c r="B6" s="7"/>
      <c r="C6" s="7"/>
      <c r="D6" s="7"/>
      <c r="E6" s="7"/>
      <c r="F6" s="7"/>
      <c r="G6" s="15"/>
      <c r="H6" s="15"/>
      <c r="I6" s="7"/>
    </row>
    <row r="7" ht="14.25">
      <c r="A7" s="7"/>
      <c r="B7" s="7"/>
      <c r="C7" s="7"/>
      <c r="D7" s="7"/>
      <c r="E7" s="7"/>
      <c r="F7" s="16"/>
      <c r="G7" s="3" t="s">
        <v>2</v>
      </c>
      <c r="H7" s="4">
        <v>0.94999999999999996</v>
      </c>
      <c r="I7" s="5" t="s">
        <v>3</v>
      </c>
    </row>
    <row r="8" ht="14.25">
      <c r="A8" s="7"/>
      <c r="B8" s="7"/>
      <c r="C8" s="7"/>
      <c r="D8" s="7"/>
      <c r="E8" s="7"/>
      <c r="F8" s="16"/>
      <c r="G8" s="3" t="s">
        <v>4</v>
      </c>
      <c r="H8" s="6">
        <v>0.01</v>
      </c>
      <c r="I8" s="5" t="s">
        <v>5</v>
      </c>
    </row>
    <row r="9" ht="14.25">
      <c r="A9" s="7" t="s">
        <v>6</v>
      </c>
      <c r="B9" s="7"/>
      <c r="C9" s="7"/>
      <c r="D9" s="7"/>
      <c r="E9" s="7"/>
      <c r="F9" s="7"/>
      <c r="G9" s="17"/>
      <c r="H9" s="17"/>
      <c r="I9" s="7"/>
    </row>
    <row r="10" ht="14.25">
      <c r="A10" s="7" t="s">
        <v>10</v>
      </c>
      <c r="B10" s="7"/>
      <c r="C10" s="7"/>
      <c r="D10" s="7"/>
      <c r="E10" s="7"/>
      <c r="F10" s="16"/>
      <c r="G10" s="3" t="s">
        <v>11</v>
      </c>
      <c r="H10" s="10">
        <f>_xlfn.NORM.S.INV(H7+H8/2)</f>
        <v>1.6953977102721358</v>
      </c>
      <c r="I10" s="7"/>
    </row>
    <row r="11" ht="14.25">
      <c r="A11" s="7" t="s">
        <v>26</v>
      </c>
      <c r="B11" s="7"/>
      <c r="C11" s="7"/>
      <c r="D11" s="7"/>
      <c r="E11" s="7"/>
      <c r="F11" s="16"/>
      <c r="G11" s="3" t="s">
        <v>27</v>
      </c>
      <c r="H11" s="4">
        <v>0.5</v>
      </c>
      <c r="I11" s="9" t="s">
        <v>14</v>
      </c>
    </row>
    <row r="12" ht="14.25">
      <c r="A12" s="7" t="s">
        <v>17</v>
      </c>
      <c r="B12" s="7"/>
      <c r="C12" s="7"/>
      <c r="D12" s="7"/>
      <c r="E12" s="7"/>
      <c r="F12" s="16"/>
      <c r="G12" s="3" t="s">
        <v>18</v>
      </c>
      <c r="H12" s="4">
        <v>0.01</v>
      </c>
      <c r="I12" s="7"/>
    </row>
    <row r="13" ht="14.25">
      <c r="A13" s="7"/>
      <c r="B13" s="7"/>
      <c r="C13" s="7"/>
      <c r="D13" s="7"/>
      <c r="E13" s="7"/>
      <c r="F13" s="7"/>
      <c r="G13" s="17"/>
      <c r="H13" s="17"/>
      <c r="I13" s="7"/>
    </row>
    <row r="14" ht="14.25">
      <c r="A14" s="7"/>
      <c r="B14" s="7"/>
      <c r="C14" s="7"/>
      <c r="D14" s="7"/>
      <c r="E14" s="7"/>
      <c r="F14" s="16"/>
      <c r="G14" s="3" t="s">
        <v>19</v>
      </c>
      <c r="H14" s="23">
        <f>ROUNDUP((((H10)^2)*((H11)^2)/((H12)^2)),0)</f>
        <v>7186</v>
      </c>
      <c r="I14" s="9" t="s">
        <v>20</v>
      </c>
    </row>
    <row r="16" ht="14.25">
      <c r="G16" s="12" t="s">
        <v>21</v>
      </c>
      <c r="H16" s="13">
        <v>0.10000000000000001</v>
      </c>
    </row>
    <row r="17" ht="14.25">
      <c r="G17" s="22"/>
      <c r="H17" s="22"/>
    </row>
    <row r="18" ht="14.25">
      <c r="G18" s="12" t="s">
        <v>22</v>
      </c>
      <c r="H18" s="14">
        <f>ROUNDUP((H14/(1-H16)),0)</f>
        <v>7985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revision>6</cp:revision>
  <dcterms:created xsi:type="dcterms:W3CDTF">2014-10-12T00:02:02Z</dcterms:created>
  <dcterms:modified xsi:type="dcterms:W3CDTF">2026-02-14T00:30:22Z</dcterms:modified>
</cp:coreProperties>
</file>
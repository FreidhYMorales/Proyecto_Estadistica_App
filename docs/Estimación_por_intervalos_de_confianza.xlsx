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IC1 Media" sheetId="1" state="visible" r:id="rId2"/>
    <sheet name="IC2 Media" sheetId="2" state="visible" r:id="rId3"/>
    <sheet name="IC3 Media" sheetId="3" state="visible" r:id="rId4"/>
    <sheet name="IC4 Prop." sheetId="4" state="visible" r:id="rId5"/>
    <sheet name="IC5 Var." sheetId="5" state="visible" r:id="rId6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<sst xmlns="http://schemas.openxmlformats.org/spreadsheetml/2006/main" count="38" uniqueCount="38">
  <si>
    <t xml:space="preserve">INTERVALO DE CONFIANZA PARA LA MEDIA (POBLACIONAL), SÍ SE CONOCE LA DESVIACIÓN ESTÁNDAR POBLACIONAL</t>
  </si>
  <si>
    <t>n</t>
  </si>
  <si>
    <t xml:space="preserve">Media (m)</t>
  </si>
  <si>
    <t>km/hora</t>
  </si>
  <si>
    <t xml:space="preserve">Desv. Est. (P)</t>
  </si>
  <si>
    <t xml:space="preserve">Nivel de conf.</t>
  </si>
  <si>
    <t xml:space="preserve">Nivel de sign.</t>
  </si>
  <si>
    <t xml:space="preserve">Coef. Z.</t>
  </si>
  <si>
    <t xml:space="preserve">Valor que deberá restarse y sumarse a la media para determinar el intervalo de confianza</t>
  </si>
  <si>
    <t>LI</t>
  </si>
  <si>
    <t>LS</t>
  </si>
  <si>
    <t xml:space="preserve">Intervalo de confianza</t>
  </si>
  <si>
    <t xml:space="preserve">INTERVALO DE CONFIANZA PARA LA MEDIA (POBLACIONAL), SI NO SE CONOCE LA DESVIACIÓN ESTÁNDAR POBLACIONAL</t>
  </si>
  <si>
    <t>mg/litro</t>
  </si>
  <si>
    <t xml:space="preserve">Desv. Est. (m)</t>
  </si>
  <si>
    <t xml:space="preserve">Coef. t.</t>
  </si>
  <si>
    <t xml:space="preserve">INTERVALO DE CONFIANZA PARA LA MEDIA (POBLACIONAL) DE UNA MUESTRA PEQUEÑA (n &lt; 30)</t>
  </si>
  <si>
    <t xml:space="preserve">Si se conoce (La desviación estandar)</t>
  </si>
  <si>
    <t xml:space="preserve">Si no se conoce y se debe de estimar</t>
  </si>
  <si>
    <t xml:space="preserve">INTERVALO DE CONFIANZA PARA LA PROPORCION (POBLACIONAL)</t>
  </si>
  <si>
    <t xml:space="preserve">Proporción (m)</t>
  </si>
  <si>
    <t xml:space="preserve">INTERVALO DE CONFIANZA PARA LA VARIANZA (POBLACIONAL) - DISTRIBUCIÓN CHI CUADRADA</t>
  </si>
  <si>
    <t xml:space="preserve">Varianza (s²)</t>
  </si>
  <si>
    <t xml:space="preserve">Chi² (α/2)</t>
  </si>
  <si>
    <t xml:space="preserve">Chi² (1-α/2)</t>
  </si>
  <si>
    <t xml:space="preserve">Valor del límite inferior (LI) de σ²</t>
  </si>
  <si>
    <t xml:space="preserve">Valor del límite superior (LS) de σ²</t>
  </si>
  <si>
    <t xml:space="preserve">¿Qué significa cada parte?</t>
  </si>
  <si>
    <t>Componente</t>
  </si>
  <si>
    <t xml:space="preserve">Qué representa</t>
  </si>
  <si>
    <t>n-1</t>
  </si>
  <si>
    <t xml:space="preserve">Grados de libertad — "información libre" de la muestra</t>
  </si>
  <si>
    <t>s²</t>
  </si>
  <si>
    <t xml:space="preserve">Varianza muestral — tu estimador de σ²</t>
  </si>
  <si>
    <t>χ²₍α/₂₎</t>
  </si>
  <si>
    <t xml:space="preserve">Valor crítico cola derecha — divide el área α/2 a la derecha</t>
  </si>
  <si>
    <t>χ²₍₁₋α/₂₎</t>
  </si>
  <si>
    <t xml:space="preserve">Valor crítico cola izquierda — divide el área α/2 a la izquierda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</si>
</sst>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6">
    <font>
      <sz val="11.000000"/>
      <color theme="1"/>
      <name val="Calibri"/>
    </font>
    <font>
      <b/>
      <sz val="11.000000"/>
      <color theme="1"/>
      <name val="Calibri"/>
    </font>
    <font>
      <i/>
      <sz val="9.000000"/>
      <color theme="1"/>
      <name val="Calibri"/>
    </font>
    <font>
      <i/>
      <sz val="10.000000"/>
      <color theme="1"/>
      <name val="Calibri"/>
    </font>
    <font>
      <b/>
      <sz val="11.000000"/>
      <name val="Cambria"/>
    </font>
    <font>
      <sz val="11.000000"/>
      <name val="Cambria"/>
    </font>
  </fonts>
  <fills count="4">
    <fill>
      <patternFill patternType="none"/>
    </fill>
    <fill>
      <patternFill patternType="gray125"/>
    </fill>
    <fill>
      <patternFill patternType="solid">
        <fgColor theme="7" tint="0.79989013336588644"/>
        <bgColor indexed="65"/>
      </patternFill>
    </fill>
    <fill>
      <patternFill patternType="solid">
        <fgColor theme="7" tint="0.799981688894314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9" applyNumberFormat="1" applyFont="1" applyFill="1" applyBorder="1"/>
  </cellStyleXfs>
  <cellXfs count="20">
    <xf fontId="0" fillId="0" borderId="0" numFmtId="0" xfId="0"/>
    <xf fontId="1" fillId="0" borderId="0" numFmtId="0" xfId="0" applyFont="1"/>
    <xf fontId="0" fillId="0" borderId="1" numFmtId="0" xfId="0" applyBorder="1"/>
    <xf fontId="0" fillId="2" borderId="1" numFmtId="10" xfId="1" applyNumberFormat="1" applyFill="1" applyBorder="1"/>
    <xf fontId="0" fillId="0" borderId="1" numFmtId="10" xfId="0" applyNumberFormat="1" applyBorder="1"/>
    <xf fontId="0" fillId="0" borderId="1" numFmtId="164" xfId="0" applyNumberFormat="1" applyBorder="1"/>
    <xf fontId="0" fillId="0" borderId="1" numFmtId="2" xfId="0" applyNumberFormat="1" applyBorder="1"/>
    <xf fontId="2" fillId="0" borderId="0" numFmtId="0" xfId="0" applyFont="1"/>
    <xf fontId="0" fillId="0" borderId="1" numFmtId="0" xfId="0" applyBorder="1" applyAlignment="1">
      <alignment horizontal="center"/>
    </xf>
    <xf fontId="0" fillId="0" borderId="1" numFmtId="2" xfId="0" applyNumberFormat="1" applyBorder="1" applyAlignment="1">
      <alignment horizontal="center"/>
    </xf>
    <xf fontId="3" fillId="0" borderId="0" numFmtId="0" xfId="0" applyFont="1"/>
    <xf fontId="0" fillId="0" borderId="1" numFmtId="165" xfId="0" applyNumberFormat="1" applyBorder="1"/>
    <xf fontId="0" fillId="0" borderId="1" numFmtId="10" xfId="1" applyNumberFormat="1" applyBorder="1" applyAlignment="1">
      <alignment horizontal="center"/>
    </xf>
    <xf fontId="4" fillId="0" borderId="0" numFmtId="0" xfId="0" applyFont="1"/>
    <xf fontId="5" fillId="0" borderId="0" numFmtId="0" xfId="0" applyFont="1"/>
    <xf fontId="5" fillId="0" borderId="1" numFmtId="0" xfId="0" applyFont="1" applyBorder="1"/>
    <xf fontId="5" fillId="0" borderId="1" numFmtId="165" xfId="0" applyNumberFormat="1" applyFont="1" applyBorder="1"/>
    <xf fontId="5" fillId="3" borderId="1" numFmtId="10" xfId="1" applyNumberFormat="1" applyFont="1" applyFill="1" applyBorder="1"/>
    <xf fontId="5" fillId="0" borderId="0" numFmtId="10" xfId="1" applyNumberFormat="1" applyFont="1"/>
    <xf fontId="0" fillId="0" borderId="0" numFmtId="0" xfId="0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2</xdr:row>
      <xdr:rowOff>0</xdr:rowOff>
    </xdr:from>
    <xdr:to>
      <xdr:col>8</xdr:col>
      <xdr:colOff>575280</xdr:colOff>
      <xdr:row>7</xdr:row>
      <xdr:rowOff>43920</xdr:rowOff>
    </xdr:to>
    <xdr:pic>
      <xdr:nvPicPr>
        <xdr:cNvPr id="2" name="Imagen 1"/>
        <xdr:cNvPicPr/>
      </xdr:nvPicPr>
      <xdr:blipFill rotWithShape="1">
        <a:blip r:embed="rId1"/>
        <a:stretch/>
      </xdr:blipFill>
      <xdr:spPr bwMode="auto">
        <a:xfrm>
          <a:off x="0" y="361800"/>
          <a:ext cx="6946920" cy="94896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2</xdr:row>
      <xdr:rowOff>0</xdr:rowOff>
    </xdr:from>
    <xdr:to>
      <xdr:col>8</xdr:col>
      <xdr:colOff>575280</xdr:colOff>
      <xdr:row>7</xdr:row>
      <xdr:rowOff>63000</xdr:rowOff>
    </xdr:to>
    <xdr:pic>
      <xdr:nvPicPr>
        <xdr:cNvPr id="2" name="Imagen 1"/>
        <xdr:cNvPicPr/>
      </xdr:nvPicPr>
      <xdr:blipFill rotWithShape="1">
        <a:blip r:embed="rId1"/>
        <a:stretch/>
      </xdr:blipFill>
      <xdr:spPr bwMode="auto">
        <a:xfrm>
          <a:off x="0" y="361800"/>
          <a:ext cx="6946920" cy="96804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2</xdr:row>
      <xdr:rowOff>0</xdr:rowOff>
    </xdr:from>
    <xdr:to>
      <xdr:col>8</xdr:col>
      <xdr:colOff>575280</xdr:colOff>
      <xdr:row>7</xdr:row>
      <xdr:rowOff>56880</xdr:rowOff>
    </xdr:to>
    <xdr:pic>
      <xdr:nvPicPr>
        <xdr:cNvPr id="2" name="Imagen 1"/>
        <xdr:cNvPicPr/>
      </xdr:nvPicPr>
      <xdr:blipFill rotWithShape="1">
        <a:blip r:embed="rId1"/>
        <a:stretch/>
      </xdr:blipFill>
      <xdr:spPr bwMode="auto">
        <a:xfrm>
          <a:off x="0" y="361800"/>
          <a:ext cx="6946920" cy="96192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2</xdr:row>
      <xdr:rowOff>0</xdr:rowOff>
    </xdr:from>
    <xdr:to>
      <xdr:col>8</xdr:col>
      <xdr:colOff>575280</xdr:colOff>
      <xdr:row>7</xdr:row>
      <xdr:rowOff>95040</xdr:rowOff>
    </xdr:to>
    <xdr:pic>
      <xdr:nvPicPr>
        <xdr:cNvPr id="3" name="Imagen 2"/>
        <xdr:cNvPicPr/>
      </xdr:nvPicPr>
      <xdr:blipFill rotWithShape="1">
        <a:blip r:embed="rId1"/>
        <a:stretch/>
      </xdr:blipFill>
      <xdr:spPr bwMode="auto">
        <a:xfrm>
          <a:off x="0" y="361800"/>
          <a:ext cx="6946920" cy="100008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3</xdr:col>
      <xdr:colOff>15240</xdr:colOff>
      <xdr:row>3</xdr:row>
      <xdr:rowOff>0</xdr:rowOff>
    </xdr:from>
    <xdr:ext cx="3493585" cy="753411"/>
    <xdr:sp>
      <xdr:nvSpPr>
        <xdr:cNvPr id="2" name="CuadroTexto 1"/>
        <xdr:cNvSpPr txBox="1"/>
      </xdr:nvSpPr>
      <xdr:spPr bwMode="auto">
        <a:xfrm>
          <a:off x="2583180" y="548640"/>
          <a:ext cx="3493584" cy="753411"/>
        </a:xfrm>
        <a:prstGeom prst="rect">
          <a:avLst/>
        </a:prstGeom>
        <a:solidFill>
          <a:schemeClr val="bg1"/>
        </a:solidFill>
        <a:ln>
          <a:solidFill>
            <a:schemeClr val="accent4"/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>
            <a:defRPr/>
          </a:pPr>
          <mc:AlternateContent xmlns:mc="http://schemas.openxmlformats.org/markup-compatibility/2006" xmlns:m="http://schemas.openxmlformats.org/officeDocument/2006/math">
            <mc:Choice xmlns:a14="http://schemas.microsoft.com/office/drawing/2010/main" Requires="a14">
              <a14:m>
                <m:oMathPara>
                  <m:oMathParaPr>
                    <m:jc m:val="centerGroup"/>
                  </m:oMathParaPr>
                  <m:oMath>
                    <m:f>
                      <m:fPr>
                        <m:ctrlPr>
                          <a:rPr lang="es-GT" sz="2000" b="0" i="1">
                            <a:latin typeface="Cambria Math"/>
                            <a:ea typeface="Cambria Math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GT" sz="2000" b="0" i="1">
                                <a:latin typeface="Cambria Math"/>
                                <a:ea typeface="Cambria Math"/>
                              </a:rPr>
                            </m:ctrlPr>
                          </m:dPr>
                          <m:e>
                            <m:r>
                              <m:rPr/>
                              <a:rPr lang="es-ES" sz="2000" b="0" i="1">
                                <a:latin typeface="Cambria Math"/>
                                <a:ea typeface="Cambria Math"/>
                              </a:rPr>
                              <m:t>𝑛</m:t>
                            </m:r>
                            <m:r>
                              <m:rPr/>
                              <a:rPr lang="es-ES" sz="2000" b="0" i="1">
                                <a:latin typeface="Cambria Math"/>
                                <a:ea typeface="Cambria Math"/>
                              </a:rPr>
                              <m:t>−1</m:t>
                            </m:r>
                          </m:e>
                        </m:d>
                        <m:r>
                          <m:rPr/>
                          <a:rPr lang="es-GT" sz="2000" b="0" i="1">
                            <a:latin typeface="Cambria Math"/>
                            <a:ea typeface="Cambria Math"/>
                          </a:rPr>
                          <m:t>∙</m:t>
                        </m:r>
                        <m:sSup>
                          <m:sSupPr>
                            <m:ctrlPr>
                              <a:rPr lang="es-GT" sz="2000" b="0" i="1">
                                <a:latin typeface="Cambria Math"/>
                                <a:ea typeface="Cambria Math"/>
                              </a:rPr>
                            </m:ctrlPr>
                          </m:sSupPr>
                          <m:e>
                            <m:r>
                              <m:rPr/>
                              <a:rPr lang="es-ES" sz="2000" b="0" i="1">
                                <a:latin typeface="Cambria Math"/>
                                <a:ea typeface="Cambria Math"/>
                              </a:rPr>
                              <m:t>𝑠</m:t>
                            </m:r>
                          </m:e>
                          <m:sup>
                            <m:r>
                              <m:rPr/>
                              <a:rPr lang="es-ES" sz="2000" b="0" i="1">
                                <a:latin typeface="Cambria Math"/>
                                <a:ea typeface="Cambria Math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bSup>
                          <m:sSubSupPr>
                            <m:alnScr m:val="off"/>
                            <m:ctrlPr>
                              <a:rPr lang="es-GT" sz="2000" b="0" i="1">
                                <a:latin typeface="Cambria Math"/>
                                <a:ea typeface="Cambria Math"/>
                              </a:rPr>
                            </m:ctrlPr>
                          </m:sSubSupPr>
                          <m:e>
                            <m:r>
                              <m:rPr/>
                              <a:rPr lang="es-ES" sz="2000" b="0" i="1">
                                <a:latin typeface="Cambria Math"/>
                                <a:ea typeface="Cambria Math"/>
                              </a:rPr>
                              <m:t>𝑋</m:t>
                            </m:r>
                          </m:e>
                          <m:sub>
                            <m:r>
                              <m:rPr/>
                              <a:rPr lang="es-GT" sz="2000" b="0" i="1">
                                <a:latin typeface="Cambria Math"/>
                                <a:ea typeface="Cambria Math"/>
                              </a:rPr>
                              <m:t>𝜎</m:t>
                            </m:r>
                            <m:r>
                              <m:rPr/>
                              <a:rPr lang="es-ES" sz="2000" b="0" i="1">
                                <a:latin typeface="Cambria Math"/>
                                <a:ea typeface="Cambria Math"/>
                              </a:rPr>
                              <m:t>/2</m:t>
                            </m:r>
                          </m:sub>
                          <m:sup>
                            <m:r>
                              <m:rPr/>
                              <a:rPr lang="es-ES" sz="2000" b="0" i="1">
                                <a:latin typeface="Cambria Math"/>
                                <a:ea typeface="Cambria Math"/>
                              </a:rPr>
                              <m:t>2</m:t>
                            </m:r>
                          </m:sup>
                        </m:sSubSup>
                      </m:den>
                    </m:f>
                    <m:r>
                      <m:rPr/>
                      <a:rPr lang="es-GT" sz="2000" b="0" i="1">
                        <a:latin typeface="Cambria Math"/>
                        <a:ea typeface="Cambria Math"/>
                      </a:rPr>
                      <m:t>≤</m:t>
                    </m:r>
                    <m:sSup>
                      <m:sSupPr>
                        <m:ctrlPr>
                          <a:rPr lang="es-GT" sz="2000" b="0" i="1">
                            <a:latin typeface="Cambria Math"/>
                            <a:ea typeface="Cambria Math"/>
                          </a:rPr>
                        </m:ctrlPr>
                      </m:sSupPr>
                      <m:e>
                        <m:r>
                          <m:rPr/>
                          <a:rPr lang="es-GT" sz="2000" b="0" i="1">
                            <a:latin typeface="Cambria Math"/>
                            <a:ea typeface="Cambria Math"/>
                          </a:rPr>
                          <m:t>𝜎</m:t>
                        </m:r>
                      </m:e>
                      <m:sup>
                        <m:r>
                          <m:rPr/>
                          <a:rPr lang="es-ES" sz="2000" b="0" i="1">
                            <a:latin typeface="Cambria Math"/>
                            <a:ea typeface="Cambria Math"/>
                          </a:rPr>
                          <m:t>2</m:t>
                        </m:r>
                      </m:sup>
                    </m:sSup>
                    <m:r>
                      <m:rPr/>
                      <a:rPr lang="es-GT" sz="2000" b="0" i="1">
                        <a:latin typeface="Cambria Math"/>
                        <a:ea typeface="Cambria Math"/>
                      </a:rPr>
                      <m:t>≤</m:t>
                    </m:r>
                    <m:f>
                      <m:fPr>
                        <m:ctrlPr>
                          <a:rPr lang="es-GT" sz="2000" b="0" i="1">
                            <a:solidFill>
                              <a:schemeClr val="tx1"/>
                            </a:solidFill>
                            <a:latin typeface="Cambria Math"/>
                            <a:ea typeface="Cambria Math"/>
                            <a:cs typeface="+mn-cs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GT" sz="2000" b="0" i="1">
                                <a:solidFill>
                                  <a:schemeClr val="tx1"/>
                                </a:solidFill>
                                <a:latin typeface="Cambria Math"/>
                                <a:ea typeface="Cambria Math"/>
                                <a:cs typeface="+mn-cs"/>
                              </a:rPr>
                            </m:ctrlPr>
                          </m:dPr>
                          <m:e>
                            <m:r>
                              <m:rPr/>
                              <a:rPr lang="es-ES" sz="2000" b="0" i="1">
                                <a:solidFill>
                                  <a:schemeClr val="tx1"/>
                                </a:solidFill>
                                <a:latin typeface="Cambria Math"/>
                                <a:ea typeface="Cambria Math"/>
                                <a:cs typeface="+mn-cs"/>
                              </a:rPr>
                              <m:t>𝑛</m:t>
                            </m:r>
                            <m:r>
                              <m:rPr/>
                              <a:rPr lang="es-ES" sz="2000" b="0" i="1">
                                <a:solidFill>
                                  <a:schemeClr val="tx1"/>
                                </a:solidFill>
                                <a:latin typeface="Cambria Math"/>
                                <a:ea typeface="Cambria Math"/>
                                <a:cs typeface="+mn-cs"/>
                              </a:rPr>
                              <m:t>−1</m:t>
                            </m:r>
                          </m:e>
                        </m:d>
                        <m:r>
                          <m:rPr/>
                          <a:rPr lang="es-GT" sz="2000" b="0" i="1">
                            <a:solidFill>
                              <a:schemeClr val="tx1"/>
                            </a:solidFill>
                            <a:latin typeface="Cambria Math"/>
                            <a:ea typeface="Cambria Math"/>
                            <a:cs typeface="+mn-cs"/>
                          </a:rPr>
                          <m:t>∙</m:t>
                        </m:r>
                        <m:sSup>
                          <m:sSupPr>
                            <m:ctrlPr>
                              <a:rPr lang="es-GT" sz="2000" b="0" i="1">
                                <a:solidFill>
                                  <a:schemeClr val="tx1"/>
                                </a:solidFill>
                                <a:latin typeface="Cambria Math"/>
                                <a:ea typeface="Cambria Math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/>
                              <a:rPr lang="es-ES" sz="2000" b="0" i="1">
                                <a:solidFill>
                                  <a:schemeClr val="tx1"/>
                                </a:solidFill>
                                <a:latin typeface="Cambria Math"/>
                                <a:ea typeface="Cambria Math"/>
                                <a:cs typeface="+mn-cs"/>
                              </a:rPr>
                              <m:t>𝑠</m:t>
                            </m:r>
                          </m:e>
                          <m:sup>
                            <m:r>
                              <m:rPr/>
                              <a:rPr lang="es-ES" sz="2000" b="0" i="1">
                                <a:solidFill>
                                  <a:schemeClr val="tx1"/>
                                </a:solidFill>
                                <a:latin typeface="Cambria Math"/>
                                <a:ea typeface="Cambria Math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bSup>
                          <m:sSubSupPr>
                            <m:alnScr m:val="off"/>
                            <m:ctrlPr>
                              <a:rPr lang="es-GT" sz="2000" b="0" i="1">
                                <a:solidFill>
                                  <a:schemeClr val="tx1"/>
                                </a:solidFill>
                                <a:latin typeface="Cambria Math"/>
                                <a:ea typeface="Cambria Math"/>
                                <a:cs typeface="+mn-cs"/>
                              </a:rPr>
                            </m:ctrlPr>
                          </m:sSubSupPr>
                          <m:e>
                            <m:r>
                              <m:rPr/>
                              <a:rPr lang="es-ES" sz="2000" b="0" i="1">
                                <a:solidFill>
                                  <a:schemeClr val="tx1"/>
                                </a:solidFill>
                                <a:latin typeface="Cambria Math"/>
                                <a:ea typeface="Cambria Math"/>
                                <a:cs typeface="+mn-cs"/>
                              </a:rPr>
                              <m:t>𝑋</m:t>
                            </m:r>
                          </m:e>
                          <m:sub>
                            <m:r>
                              <m:rPr/>
                              <a:rPr lang="es-ES" sz="2000" b="0" i="1">
                                <a:solidFill>
                                  <a:schemeClr val="tx1"/>
                                </a:solidFill>
                                <a:latin typeface="Cambria Math"/>
                                <a:ea typeface="Cambria Math"/>
                                <a:cs typeface="+mn-cs"/>
                              </a:rPr>
                              <m:t>1−</m:t>
                            </m:r>
                            <m:r>
                              <m:rPr/>
                              <a:rPr lang="es-GT" sz="2000" b="0" i="1">
                                <a:solidFill>
                                  <a:schemeClr val="tx1"/>
                                </a:solidFill>
                                <a:latin typeface="Cambria Math"/>
                                <a:ea typeface="Cambria Math"/>
                                <a:cs typeface="+mn-cs"/>
                              </a:rPr>
                              <m:t>𝜎</m:t>
                            </m:r>
                            <m:r>
                              <m:rPr/>
                              <a:rPr lang="es-ES" sz="2000" b="0" i="1">
                                <a:solidFill>
                                  <a:schemeClr val="tx1"/>
                                </a:solidFill>
                                <a:latin typeface="Cambria Math"/>
                                <a:ea typeface="Cambria Math"/>
                                <a:cs typeface="+mn-cs"/>
                              </a:rPr>
                              <m:t>/2</m:t>
                            </m:r>
                          </m:sub>
                          <m:sup>
                            <m:r>
                              <m:rPr/>
                              <a:rPr lang="es-ES" sz="2000" b="0" i="1">
                                <a:solidFill>
                                  <a:schemeClr val="tx1"/>
                                </a:solidFill>
                                <a:latin typeface="Cambria Math"/>
                                <a:ea typeface="Cambria Math"/>
                                <a:cs typeface="+mn-cs"/>
                              </a:rPr>
                              <m:t>2</m:t>
                            </m:r>
                          </m:sup>
                        </m:sSubSup>
                      </m:den>
                    </m:f>
                  </m:oMath>
                </m:oMathPara>
              </a14:m>
            </mc:Choice>
            <mc:Fallback/>
          </mc:AlternateContent>
          <a:endParaRPr lang="es-GT" sz="2000">
            <a:latin typeface="Cambria Math"/>
            <a:ea typeface="Cambria Math"/>
          </a:endParaRPr>
        </a:p>
      </xdr:txBody>
    </xdr:sp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B12" activeCellId="0" sqref="B12"/>
    </sheetView>
  </sheetViews>
  <sheetFormatPr baseColWidth="10" defaultColWidth="10.6640625" defaultRowHeight="14.4"/>
  <cols>
    <col customWidth="1" min="1" max="1" width="15.6640625"/>
  </cols>
  <sheetData>
    <row r="1">
      <c r="A1" s="1" t="s">
        <v>0</v>
      </c>
    </row>
    <row r="10">
      <c r="A10" s="2" t="s">
        <v>1</v>
      </c>
      <c r="B10" s="2">
        <v>80</v>
      </c>
    </row>
    <row r="11">
      <c r="A11" s="2" t="s">
        <v>2</v>
      </c>
      <c r="B11" s="2">
        <v>58</v>
      </c>
      <c r="C11" t="s">
        <v>3</v>
      </c>
    </row>
    <row r="12">
      <c r="A12" s="2" t="s">
        <v>4</v>
      </c>
      <c r="B12" s="2">
        <v>6</v>
      </c>
      <c r="C12" t="s">
        <v>3</v>
      </c>
    </row>
    <row r="13">
      <c r="A13" s="2" t="s">
        <v>5</v>
      </c>
      <c r="B13" s="3">
        <v>0.94999999999999996</v>
      </c>
    </row>
    <row r="14">
      <c r="A14" s="2" t="s">
        <v>6</v>
      </c>
      <c r="B14" s="4">
        <f>1-B13</f>
        <v>0.050000000000000044</v>
      </c>
    </row>
    <row r="15">
      <c r="A15" s="2" t="s">
        <v>7</v>
      </c>
      <c r="B15" s="5">
        <f>_xlfn.NORM.S.INV(B13+B14/2)</f>
        <v>1.9599639845400536</v>
      </c>
    </row>
    <row r="17">
      <c r="B17" s="6">
        <f>_xlfn.CONFIDENCE.NORM(B14,B12,B10)</f>
        <v>1.3147838108648719</v>
      </c>
      <c r="C17" s="7" t="s">
        <v>8</v>
      </c>
    </row>
    <row r="19">
      <c r="B19" s="8" t="s">
        <v>9</v>
      </c>
      <c r="C19" s="8" t="s">
        <v>10</v>
      </c>
    </row>
    <row r="20">
      <c r="B20" s="9">
        <f>B11-B17</f>
        <v>56.685216189135126</v>
      </c>
      <c r="C20" s="9">
        <f>B11+B17</f>
        <v>59.314783810864874</v>
      </c>
      <c r="D20" s="10" t="s">
        <v>11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B12" activeCellId="0" sqref="B12"/>
    </sheetView>
  </sheetViews>
  <sheetFormatPr baseColWidth="10" defaultColWidth="10.6640625" defaultRowHeight="14.4"/>
  <cols>
    <col customWidth="1" min="1" max="1" width="15.6640625"/>
  </cols>
  <sheetData>
    <row r="1">
      <c r="A1" s="1" t="s">
        <v>12</v>
      </c>
    </row>
    <row r="10">
      <c r="A10" s="2" t="s">
        <v>1</v>
      </c>
      <c r="B10" s="2">
        <v>100</v>
      </c>
    </row>
    <row r="11">
      <c r="A11" s="2" t="s">
        <v>2</v>
      </c>
      <c r="B11" s="2">
        <v>0.65000000000000002</v>
      </c>
      <c r="C11" t="s">
        <v>13</v>
      </c>
    </row>
    <row r="12">
      <c r="A12" s="2" t="s">
        <v>14</v>
      </c>
      <c r="B12" s="2">
        <v>0.10000000000000001</v>
      </c>
      <c r="C12" t="s">
        <v>13</v>
      </c>
    </row>
    <row r="13">
      <c r="A13" s="2" t="s">
        <v>5</v>
      </c>
      <c r="B13" s="3">
        <v>0.94999999999999996</v>
      </c>
    </row>
    <row r="14">
      <c r="A14" s="2" t="s">
        <v>6</v>
      </c>
      <c r="B14" s="4">
        <f>1-B13</f>
        <v>0.050000000000000044</v>
      </c>
    </row>
    <row r="15">
      <c r="A15" s="2" t="s">
        <v>15</v>
      </c>
      <c r="B15" s="5">
        <f>-_xlfn.T.INV(B14/2,B10-1)</f>
        <v>1.9842169515864165</v>
      </c>
    </row>
    <row r="17">
      <c r="B17" s="11">
        <f>_xlfn.CONFIDENCE.T(B14,B12,B10)</f>
        <v>0.019842169515864167</v>
      </c>
      <c r="C17" s="7" t="s">
        <v>8</v>
      </c>
    </row>
    <row r="19">
      <c r="B19" s="8" t="s">
        <v>9</v>
      </c>
      <c r="C19" s="8" t="s">
        <v>10</v>
      </c>
    </row>
    <row r="20">
      <c r="B20" s="9">
        <f>B11-B17</f>
        <v>0.63015783048413587</v>
      </c>
      <c r="C20" s="9">
        <f>B11+B17</f>
        <v>0.66984216951586417</v>
      </c>
      <c r="D20" s="10" t="s">
        <v>11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B12" activeCellId="0" sqref="B12"/>
    </sheetView>
  </sheetViews>
  <sheetFormatPr baseColWidth="10" defaultColWidth="10.6640625" defaultRowHeight="14.4"/>
  <cols>
    <col customWidth="1" min="1" max="1" width="15.6640625"/>
  </cols>
  <sheetData>
    <row r="1">
      <c r="A1" s="1" t="s">
        <v>16</v>
      </c>
    </row>
    <row r="10">
      <c r="A10" s="2" t="s">
        <v>1</v>
      </c>
      <c r="B10" s="2">
        <v>22</v>
      </c>
      <c r="J10" t="s">
        <v>17</v>
      </c>
    </row>
    <row r="11">
      <c r="A11" s="2" t="s">
        <v>2</v>
      </c>
      <c r="B11" s="2">
        <v>58</v>
      </c>
      <c r="C11" t="s">
        <v>3</v>
      </c>
    </row>
    <row r="12">
      <c r="A12" s="2" t="s">
        <v>14</v>
      </c>
      <c r="B12" s="2">
        <v>6</v>
      </c>
      <c r="C12" t="s">
        <v>3</v>
      </c>
    </row>
    <row r="13">
      <c r="A13" s="2" t="s">
        <v>5</v>
      </c>
      <c r="B13" s="3">
        <v>0.94999999999999996</v>
      </c>
    </row>
    <row r="14">
      <c r="A14" s="2" t="s">
        <v>6</v>
      </c>
      <c r="B14" s="4">
        <f>1-B13</f>
        <v>0.050000000000000044</v>
      </c>
      <c r="J14" t="s">
        <v>18</v>
      </c>
    </row>
    <row r="15">
      <c r="A15" s="2" t="s">
        <v>15</v>
      </c>
      <c r="B15" s="5">
        <f>-_xlfn.T.INV(B14/2,B10-1)</f>
        <v>2.07961384472768</v>
      </c>
    </row>
    <row r="17">
      <c r="B17" s="11">
        <f>_xlfn.CONFIDENCE.T(B14,B12,B10)</f>
        <v>2.6602509686339202</v>
      </c>
      <c r="C17" s="7" t="s">
        <v>8</v>
      </c>
    </row>
    <row r="19">
      <c r="B19" s="8" t="s">
        <v>9</v>
      </c>
      <c r="C19" s="8" t="s">
        <v>10</v>
      </c>
    </row>
    <row r="20">
      <c r="B20" s="9">
        <f>B11-B17</f>
        <v>55.339749031366082</v>
      </c>
      <c r="C20" s="9">
        <f>B11+B17</f>
        <v>60.660250968633918</v>
      </c>
      <c r="D20" s="10" t="s">
        <v>11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0" activeCellId="0" sqref="A10"/>
    </sheetView>
  </sheetViews>
  <sheetFormatPr baseColWidth="10" defaultColWidth="10.6640625" defaultRowHeight="14.4"/>
  <cols>
    <col customWidth="1" min="1" max="1" width="15.6640625"/>
  </cols>
  <sheetData>
    <row r="1">
      <c r="A1" s="1" t="s">
        <v>19</v>
      </c>
    </row>
    <row r="10">
      <c r="A10" s="2" t="s">
        <v>1</v>
      </c>
      <c r="B10" s="2">
        <v>100</v>
      </c>
    </row>
    <row r="11">
      <c r="A11" s="2" t="s">
        <v>20</v>
      </c>
      <c r="B11" s="2">
        <f>10/100</f>
        <v>0.10000000000000001</v>
      </c>
    </row>
    <row r="12">
      <c r="A12" s="2" t="s">
        <v>5</v>
      </c>
      <c r="B12" s="3">
        <v>0.94999999999999996</v>
      </c>
    </row>
    <row r="13">
      <c r="A13" s="2" t="s">
        <v>6</v>
      </c>
      <c r="B13" s="4">
        <f>1-B12</f>
        <v>0.050000000000000044</v>
      </c>
    </row>
    <row r="14">
      <c r="A14" s="2" t="s">
        <v>7</v>
      </c>
      <c r="B14" s="5">
        <f>_xlfn.NORM.S.INV(B12+B13/2)</f>
        <v>1.9599639845400536</v>
      </c>
    </row>
    <row r="16">
      <c r="B16" s="11">
        <f>B14*SQRT(B11*(1-B11)/B10)</f>
        <v>0.058798919536201616</v>
      </c>
      <c r="C16" s="7" t="s">
        <v>8</v>
      </c>
    </row>
    <row r="18">
      <c r="B18" s="8" t="s">
        <v>9</v>
      </c>
      <c r="C18" s="8" t="s">
        <v>10</v>
      </c>
    </row>
    <row r="19">
      <c r="B19" s="12">
        <f>B11-B16</f>
        <v>0.04120108046379839</v>
      </c>
      <c r="C19" s="12">
        <f>B11+B16</f>
        <v>0.15879891953620162</v>
      </c>
      <c r="D19" s="10" t="s">
        <v>11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27" activeCellId="0" sqref="I27"/>
    </sheetView>
  </sheetViews>
  <sheetFormatPr baseColWidth="10" defaultColWidth="10.6640625" defaultRowHeight="14.25"/>
  <cols>
    <col customWidth="1" min="1" max="1" width="16.109375"/>
  </cols>
  <sheetData>
    <row r="1">
      <c r="A1" s="13" t="s">
        <v>21</v>
      </c>
      <c r="B1" s="14"/>
      <c r="C1" s="14"/>
      <c r="D1" s="14"/>
    </row>
    <row r="2">
      <c r="A2" s="14"/>
      <c r="B2" s="14"/>
      <c r="C2" s="14"/>
      <c r="D2" s="14"/>
    </row>
    <row r="3">
      <c r="A3" s="14"/>
      <c r="B3" s="14"/>
      <c r="C3" s="14"/>
      <c r="D3" s="14"/>
    </row>
    <row r="4">
      <c r="A4" s="15" t="s">
        <v>1</v>
      </c>
      <c r="B4" s="16">
        <v>25</v>
      </c>
      <c r="C4" s="14"/>
      <c r="D4" s="14"/>
    </row>
    <row r="5">
      <c r="A5" s="15" t="s">
        <v>14</v>
      </c>
      <c r="B5" s="15">
        <v>3.5</v>
      </c>
      <c r="C5" s="14"/>
      <c r="D5" s="14"/>
    </row>
    <row r="6">
      <c r="A6" s="15" t="s">
        <v>22</v>
      </c>
      <c r="B6" s="15">
        <f>B5^2</f>
        <v>12.25</v>
      </c>
      <c r="C6" s="14"/>
      <c r="D6" s="14"/>
    </row>
    <row r="7">
      <c r="A7" s="15" t="s">
        <v>5</v>
      </c>
      <c r="B7" s="17">
        <v>0.94999999999999996</v>
      </c>
      <c r="C7" s="18"/>
      <c r="D7" s="14"/>
    </row>
    <row r="8">
      <c r="A8" s="2" t="s">
        <v>6</v>
      </c>
      <c r="B8" s="4">
        <f>1-B7</f>
        <v>0.050000000000000044</v>
      </c>
    </row>
    <row r="9">
      <c r="A9" s="2" t="s">
        <v>23</v>
      </c>
      <c r="B9" s="2">
        <f>_xlfn.CHISQ.INV.RT(B8/2,B4-1)</f>
        <v>39.364077026603908</v>
      </c>
    </row>
    <row r="10">
      <c r="A10" s="2" t="s">
        <v>24</v>
      </c>
      <c r="B10" s="2">
        <f>_xlfn.CHISQ.INV.RT(1-B8/2,B4-1)</f>
        <v>12.401150217444435</v>
      </c>
    </row>
    <row r="12">
      <c r="B12">
        <f>(B4-1)*B6/B9</f>
        <v>7.4687385608279948</v>
      </c>
      <c r="C12" t="s">
        <v>25</v>
      </c>
    </row>
    <row r="13">
      <c r="B13">
        <f>(B4-1)*B6/B10</f>
        <v>23.707478326198842</v>
      </c>
      <c r="C13" t="s">
        <v>26</v>
      </c>
    </row>
    <row r="15">
      <c r="B15" s="19" t="s">
        <v>9</v>
      </c>
      <c r="C15" s="19" t="s">
        <v>10</v>
      </c>
    </row>
    <row r="16">
      <c r="B16" s="19">
        <f>B12</f>
        <v>7.4687385608279948</v>
      </c>
      <c r="C16" s="19">
        <f>B13</f>
        <v>23.707478326198842</v>
      </c>
      <c r="D16" t="s">
        <v>11</v>
      </c>
    </row>
    <row r="18">
      <c r="H18" t="s">
        <v>27</v>
      </c>
    </row>
    <row r="20">
      <c r="H20" t="s">
        <v>28</v>
      </c>
      <c r="I20" t="s">
        <v>29</v>
      </c>
    </row>
    <row r="21">
      <c r="H21" t="s">
        <v>30</v>
      </c>
      <c r="I21" t="s">
        <v>31</v>
      </c>
    </row>
    <row r="22">
      <c r="H22" t="s">
        <v>32</v>
      </c>
      <c r="I22" t="s">
        <v>33</v>
      </c>
    </row>
    <row r="23">
      <c r="H23" t="s">
        <v>34</v>
      </c>
      <c r="I23" t="s">
        <v>35</v>
      </c>
    </row>
    <row r="24">
      <c r="H24" t="s">
        <v>36</v>
      </c>
      <c r="I24" t="s">
        <v>37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Amado</dc:creator>
  <dc:description/>
  <dc:language>en-US</dc:language>
  <cp:revision>1</cp:revision>
  <dcterms:created xsi:type="dcterms:W3CDTF">2022-02-26T00:13:00Z</dcterms:created>
  <dcterms:modified xsi:type="dcterms:W3CDTF">2026-03-19T02:59:10Z</dcterms:modified>
</cp:coreProperties>
</file>
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ucación\Docencia\UMG\Ingeniería en Sistemas\2022\UMG 2-22 SIS Estadística I\"/>
    </mc:Choice>
  </mc:AlternateContent>
  <xr:revisionPtr revIDLastSave="0" documentId="13_ncr:1_{C4D427FC-A7BC-473E-BF7D-431AB81D66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J1" sheetId="2" r:id="rId1"/>
    <sheet name="TablaChi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2" l="1"/>
  <c r="H99" i="3"/>
  <c r="Q35" i="3"/>
  <c r="K6" i="3"/>
  <c r="K7" i="3"/>
  <c r="K8" i="3"/>
  <c r="K9" i="3"/>
  <c r="K11" i="3"/>
  <c r="K12" i="3"/>
  <c r="K13" i="3"/>
  <c r="K14" i="3"/>
  <c r="K15" i="3"/>
  <c r="K17" i="3"/>
  <c r="K18" i="3"/>
  <c r="K19" i="3"/>
  <c r="K20" i="3"/>
  <c r="K21" i="3"/>
  <c r="K23" i="3"/>
  <c r="K24" i="3"/>
  <c r="K25" i="3"/>
  <c r="K26" i="3"/>
  <c r="K27" i="3"/>
  <c r="K29" i="3"/>
  <c r="K30" i="3"/>
  <c r="K31" i="3"/>
  <c r="K32" i="3"/>
  <c r="K33" i="3"/>
  <c r="K35" i="3"/>
  <c r="K36" i="3"/>
  <c r="K37" i="3"/>
  <c r="K38" i="3"/>
  <c r="K39" i="3"/>
  <c r="K41" i="3"/>
  <c r="K42" i="3"/>
  <c r="K43" i="3"/>
  <c r="K44" i="3"/>
  <c r="K45" i="3"/>
  <c r="K47" i="3"/>
  <c r="K48" i="3"/>
  <c r="K49" i="3"/>
  <c r="K50" i="3"/>
  <c r="K51" i="3"/>
  <c r="K53" i="3"/>
  <c r="K54" i="3"/>
  <c r="K55" i="3"/>
  <c r="K56" i="3"/>
  <c r="K57" i="3"/>
  <c r="K59" i="3"/>
  <c r="K60" i="3"/>
  <c r="K61" i="3"/>
  <c r="K62" i="3"/>
  <c r="K63" i="3"/>
  <c r="K65" i="3"/>
  <c r="K66" i="3"/>
  <c r="K67" i="3"/>
  <c r="K68" i="3"/>
  <c r="K69" i="3"/>
  <c r="K71" i="3"/>
  <c r="K72" i="3"/>
  <c r="K73" i="3"/>
  <c r="K74" i="3"/>
  <c r="K75" i="3"/>
  <c r="K77" i="3"/>
  <c r="K78" i="3"/>
  <c r="K79" i="3"/>
  <c r="K80" i="3"/>
  <c r="K81" i="3"/>
  <c r="K83" i="3"/>
  <c r="K84" i="3"/>
  <c r="K85" i="3"/>
  <c r="K86" i="3"/>
  <c r="K87" i="3"/>
  <c r="K89" i="3"/>
  <c r="K90" i="3"/>
  <c r="K91" i="3"/>
  <c r="K92" i="3"/>
  <c r="K93" i="3"/>
  <c r="K95" i="3"/>
  <c r="K96" i="3"/>
  <c r="K97" i="3"/>
  <c r="K98" i="3"/>
  <c r="K99" i="3"/>
  <c r="K101" i="3"/>
  <c r="K102" i="3"/>
  <c r="K103" i="3"/>
  <c r="K104" i="3"/>
  <c r="K105" i="3"/>
  <c r="K107" i="3"/>
  <c r="K108" i="3"/>
  <c r="K109" i="3"/>
  <c r="K110" i="3"/>
  <c r="K111" i="3"/>
  <c r="K113" i="3"/>
  <c r="K114" i="3"/>
  <c r="K115" i="3"/>
  <c r="K116" i="3"/>
  <c r="K117" i="3"/>
  <c r="K119" i="3"/>
  <c r="K120" i="3"/>
  <c r="K121" i="3"/>
  <c r="K122" i="3"/>
  <c r="K123" i="3"/>
  <c r="K5" i="3"/>
  <c r="J6" i="3"/>
  <c r="J7" i="3"/>
  <c r="J8" i="3"/>
  <c r="J9" i="3"/>
  <c r="J11" i="3"/>
  <c r="J12" i="3"/>
  <c r="J13" i="3"/>
  <c r="J14" i="3"/>
  <c r="J15" i="3"/>
  <c r="J17" i="3"/>
  <c r="J18" i="3"/>
  <c r="J19" i="3"/>
  <c r="J20" i="3"/>
  <c r="J21" i="3"/>
  <c r="J23" i="3"/>
  <c r="J24" i="3"/>
  <c r="J25" i="3"/>
  <c r="J26" i="3"/>
  <c r="J27" i="3"/>
  <c r="J29" i="3"/>
  <c r="J30" i="3"/>
  <c r="J31" i="3"/>
  <c r="J32" i="3"/>
  <c r="J33" i="3"/>
  <c r="J35" i="3"/>
  <c r="J36" i="3"/>
  <c r="J37" i="3"/>
  <c r="J38" i="3"/>
  <c r="J39" i="3"/>
  <c r="J41" i="3"/>
  <c r="J42" i="3"/>
  <c r="J43" i="3"/>
  <c r="J44" i="3"/>
  <c r="J45" i="3"/>
  <c r="J47" i="3"/>
  <c r="J48" i="3"/>
  <c r="J49" i="3"/>
  <c r="J50" i="3"/>
  <c r="J51" i="3"/>
  <c r="J53" i="3"/>
  <c r="J54" i="3"/>
  <c r="J55" i="3"/>
  <c r="J56" i="3"/>
  <c r="J57" i="3"/>
  <c r="J59" i="3"/>
  <c r="J60" i="3"/>
  <c r="J61" i="3"/>
  <c r="J62" i="3"/>
  <c r="J63" i="3"/>
  <c r="J65" i="3"/>
  <c r="J66" i="3"/>
  <c r="J67" i="3"/>
  <c r="J68" i="3"/>
  <c r="J69" i="3"/>
  <c r="J71" i="3"/>
  <c r="J72" i="3"/>
  <c r="J73" i="3"/>
  <c r="J74" i="3"/>
  <c r="J75" i="3"/>
  <c r="J77" i="3"/>
  <c r="J78" i="3"/>
  <c r="J79" i="3"/>
  <c r="J80" i="3"/>
  <c r="J81" i="3"/>
  <c r="J83" i="3"/>
  <c r="J84" i="3"/>
  <c r="J85" i="3"/>
  <c r="J86" i="3"/>
  <c r="J87" i="3"/>
  <c r="J89" i="3"/>
  <c r="J90" i="3"/>
  <c r="J91" i="3"/>
  <c r="J92" i="3"/>
  <c r="J93" i="3"/>
  <c r="J95" i="3"/>
  <c r="J96" i="3"/>
  <c r="J97" i="3"/>
  <c r="J98" i="3"/>
  <c r="J99" i="3"/>
  <c r="J101" i="3"/>
  <c r="J102" i="3"/>
  <c r="J103" i="3"/>
  <c r="J104" i="3"/>
  <c r="J105" i="3"/>
  <c r="J107" i="3"/>
  <c r="J108" i="3"/>
  <c r="J109" i="3"/>
  <c r="J110" i="3"/>
  <c r="J111" i="3"/>
  <c r="J113" i="3"/>
  <c r="J114" i="3"/>
  <c r="J115" i="3"/>
  <c r="J116" i="3"/>
  <c r="J117" i="3"/>
  <c r="J119" i="3"/>
  <c r="J120" i="3"/>
  <c r="J121" i="3"/>
  <c r="J122" i="3"/>
  <c r="J123" i="3"/>
  <c r="J5" i="3"/>
  <c r="I6" i="3"/>
  <c r="I7" i="3"/>
  <c r="I8" i="3"/>
  <c r="I9" i="3"/>
  <c r="I11" i="3"/>
  <c r="I12" i="3"/>
  <c r="I13" i="3"/>
  <c r="I14" i="3"/>
  <c r="I15" i="3"/>
  <c r="I17" i="3"/>
  <c r="I18" i="3"/>
  <c r="I19" i="3"/>
  <c r="I20" i="3"/>
  <c r="I21" i="3"/>
  <c r="I23" i="3"/>
  <c r="I24" i="3"/>
  <c r="I25" i="3"/>
  <c r="I26" i="3"/>
  <c r="I27" i="3"/>
  <c r="I29" i="3"/>
  <c r="I30" i="3"/>
  <c r="I31" i="3"/>
  <c r="I32" i="3"/>
  <c r="I33" i="3"/>
  <c r="I35" i="3"/>
  <c r="I36" i="3"/>
  <c r="I37" i="3"/>
  <c r="I38" i="3"/>
  <c r="I39" i="3"/>
  <c r="I41" i="3"/>
  <c r="I42" i="3"/>
  <c r="I43" i="3"/>
  <c r="I44" i="3"/>
  <c r="I45" i="3"/>
  <c r="I47" i="3"/>
  <c r="I48" i="3"/>
  <c r="I49" i="3"/>
  <c r="I50" i="3"/>
  <c r="I51" i="3"/>
  <c r="I53" i="3"/>
  <c r="I54" i="3"/>
  <c r="I55" i="3"/>
  <c r="I56" i="3"/>
  <c r="I57" i="3"/>
  <c r="I59" i="3"/>
  <c r="I60" i="3"/>
  <c r="I61" i="3"/>
  <c r="I62" i="3"/>
  <c r="I63" i="3"/>
  <c r="I65" i="3"/>
  <c r="I66" i="3"/>
  <c r="I67" i="3"/>
  <c r="I68" i="3"/>
  <c r="I69" i="3"/>
  <c r="I71" i="3"/>
  <c r="I72" i="3"/>
  <c r="I73" i="3"/>
  <c r="I74" i="3"/>
  <c r="I75" i="3"/>
  <c r="I77" i="3"/>
  <c r="I78" i="3"/>
  <c r="I79" i="3"/>
  <c r="I80" i="3"/>
  <c r="I81" i="3"/>
  <c r="I83" i="3"/>
  <c r="I84" i="3"/>
  <c r="I85" i="3"/>
  <c r="I86" i="3"/>
  <c r="I87" i="3"/>
  <c r="I89" i="3"/>
  <c r="I90" i="3"/>
  <c r="I91" i="3"/>
  <c r="I92" i="3"/>
  <c r="I93" i="3"/>
  <c r="I95" i="3"/>
  <c r="I96" i="3"/>
  <c r="I97" i="3"/>
  <c r="I98" i="3"/>
  <c r="I99" i="3"/>
  <c r="I101" i="3"/>
  <c r="I102" i="3"/>
  <c r="I103" i="3"/>
  <c r="I104" i="3"/>
  <c r="I105" i="3"/>
  <c r="I107" i="3"/>
  <c r="I108" i="3"/>
  <c r="I109" i="3"/>
  <c r="I110" i="3"/>
  <c r="I111" i="3"/>
  <c r="I113" i="3"/>
  <c r="I114" i="3"/>
  <c r="I115" i="3"/>
  <c r="I116" i="3"/>
  <c r="I117" i="3"/>
  <c r="I119" i="3"/>
  <c r="I120" i="3"/>
  <c r="I121" i="3"/>
  <c r="I122" i="3"/>
  <c r="I123" i="3"/>
  <c r="I5" i="3"/>
  <c r="H6" i="3"/>
  <c r="H7" i="3"/>
  <c r="H8" i="3"/>
  <c r="H9" i="3"/>
  <c r="H11" i="3"/>
  <c r="H12" i="3"/>
  <c r="H13" i="3"/>
  <c r="H14" i="3"/>
  <c r="H15" i="3"/>
  <c r="H17" i="3"/>
  <c r="H18" i="3"/>
  <c r="H19" i="3"/>
  <c r="H20" i="3"/>
  <c r="H21" i="3"/>
  <c r="H23" i="3"/>
  <c r="H24" i="3"/>
  <c r="H25" i="3"/>
  <c r="H26" i="3"/>
  <c r="H27" i="3"/>
  <c r="H29" i="3"/>
  <c r="H30" i="3"/>
  <c r="H31" i="3"/>
  <c r="H32" i="3"/>
  <c r="H33" i="3"/>
  <c r="H35" i="3"/>
  <c r="H36" i="3"/>
  <c r="H37" i="3"/>
  <c r="H38" i="3"/>
  <c r="H39" i="3"/>
  <c r="H41" i="3"/>
  <c r="H42" i="3"/>
  <c r="H43" i="3"/>
  <c r="H44" i="3"/>
  <c r="H45" i="3"/>
  <c r="H47" i="3"/>
  <c r="H48" i="3"/>
  <c r="H49" i="3"/>
  <c r="H50" i="3"/>
  <c r="H51" i="3"/>
  <c r="H53" i="3"/>
  <c r="H54" i="3"/>
  <c r="H55" i="3"/>
  <c r="H56" i="3"/>
  <c r="H57" i="3"/>
  <c r="H59" i="3"/>
  <c r="H60" i="3"/>
  <c r="H61" i="3"/>
  <c r="H62" i="3"/>
  <c r="H63" i="3"/>
  <c r="H65" i="3"/>
  <c r="H66" i="3"/>
  <c r="H67" i="3"/>
  <c r="H68" i="3"/>
  <c r="H69" i="3"/>
  <c r="H71" i="3"/>
  <c r="H72" i="3"/>
  <c r="H73" i="3"/>
  <c r="H74" i="3"/>
  <c r="H75" i="3"/>
  <c r="H77" i="3"/>
  <c r="H78" i="3"/>
  <c r="H79" i="3"/>
  <c r="H80" i="3"/>
  <c r="H81" i="3"/>
  <c r="H83" i="3"/>
  <c r="H84" i="3"/>
  <c r="H85" i="3"/>
  <c r="H86" i="3"/>
  <c r="H87" i="3"/>
  <c r="H89" i="3"/>
  <c r="H90" i="3"/>
  <c r="H91" i="3"/>
  <c r="H92" i="3"/>
  <c r="H93" i="3"/>
  <c r="H95" i="3"/>
  <c r="H96" i="3"/>
  <c r="H97" i="3"/>
  <c r="H98" i="3"/>
  <c r="H101" i="3"/>
  <c r="H102" i="3"/>
  <c r="H103" i="3"/>
  <c r="H104" i="3"/>
  <c r="H105" i="3"/>
  <c r="H107" i="3"/>
  <c r="H108" i="3"/>
  <c r="H109" i="3"/>
  <c r="H110" i="3"/>
  <c r="H111" i="3"/>
  <c r="H113" i="3"/>
  <c r="H114" i="3"/>
  <c r="H115" i="3"/>
  <c r="H116" i="3"/>
  <c r="H117" i="3"/>
  <c r="H119" i="3"/>
  <c r="H120" i="3"/>
  <c r="H121" i="3"/>
  <c r="H122" i="3"/>
  <c r="H123" i="3"/>
  <c r="H5" i="3"/>
  <c r="F6" i="3"/>
  <c r="F7" i="3"/>
  <c r="F8" i="3"/>
  <c r="F9" i="3"/>
  <c r="F11" i="3"/>
  <c r="F12" i="3"/>
  <c r="F13" i="3"/>
  <c r="F14" i="3"/>
  <c r="F15" i="3"/>
  <c r="F17" i="3"/>
  <c r="F18" i="3"/>
  <c r="F19" i="3"/>
  <c r="F20" i="3"/>
  <c r="F21" i="3"/>
  <c r="F23" i="3"/>
  <c r="F24" i="3"/>
  <c r="F25" i="3"/>
  <c r="F26" i="3"/>
  <c r="F27" i="3"/>
  <c r="F29" i="3"/>
  <c r="F30" i="3"/>
  <c r="F31" i="3"/>
  <c r="F32" i="3"/>
  <c r="F33" i="3"/>
  <c r="F35" i="3"/>
  <c r="F36" i="3"/>
  <c r="F37" i="3"/>
  <c r="F38" i="3"/>
  <c r="F39" i="3"/>
  <c r="F41" i="3"/>
  <c r="F42" i="3"/>
  <c r="F43" i="3"/>
  <c r="F44" i="3"/>
  <c r="F45" i="3"/>
  <c r="F47" i="3"/>
  <c r="F48" i="3"/>
  <c r="F49" i="3"/>
  <c r="F50" i="3"/>
  <c r="F51" i="3"/>
  <c r="F53" i="3"/>
  <c r="F54" i="3"/>
  <c r="F55" i="3"/>
  <c r="F56" i="3"/>
  <c r="F57" i="3"/>
  <c r="F59" i="3"/>
  <c r="F60" i="3"/>
  <c r="F61" i="3"/>
  <c r="F62" i="3"/>
  <c r="F63" i="3"/>
  <c r="F65" i="3"/>
  <c r="F66" i="3"/>
  <c r="F67" i="3"/>
  <c r="F68" i="3"/>
  <c r="F69" i="3"/>
  <c r="F71" i="3"/>
  <c r="F72" i="3"/>
  <c r="F73" i="3"/>
  <c r="F74" i="3"/>
  <c r="F75" i="3"/>
  <c r="F77" i="3"/>
  <c r="F78" i="3"/>
  <c r="F79" i="3"/>
  <c r="F80" i="3"/>
  <c r="F81" i="3"/>
  <c r="F83" i="3"/>
  <c r="F84" i="3"/>
  <c r="F85" i="3"/>
  <c r="F86" i="3"/>
  <c r="F87" i="3"/>
  <c r="F89" i="3"/>
  <c r="F90" i="3"/>
  <c r="F91" i="3"/>
  <c r="F92" i="3"/>
  <c r="F93" i="3"/>
  <c r="F95" i="3"/>
  <c r="F96" i="3"/>
  <c r="F97" i="3"/>
  <c r="F98" i="3"/>
  <c r="F99" i="3"/>
  <c r="F101" i="3"/>
  <c r="F102" i="3"/>
  <c r="F103" i="3"/>
  <c r="F104" i="3"/>
  <c r="F105" i="3"/>
  <c r="F107" i="3"/>
  <c r="F108" i="3"/>
  <c r="F109" i="3"/>
  <c r="F110" i="3"/>
  <c r="F111" i="3"/>
  <c r="F113" i="3"/>
  <c r="F114" i="3"/>
  <c r="F115" i="3"/>
  <c r="F116" i="3"/>
  <c r="F117" i="3"/>
  <c r="F119" i="3"/>
  <c r="F120" i="3"/>
  <c r="F121" i="3"/>
  <c r="F122" i="3"/>
  <c r="F123" i="3"/>
  <c r="F5" i="3"/>
  <c r="E6" i="3"/>
  <c r="E7" i="3"/>
  <c r="E8" i="3"/>
  <c r="E9" i="3"/>
  <c r="E11" i="3"/>
  <c r="E12" i="3"/>
  <c r="E13" i="3"/>
  <c r="E14" i="3"/>
  <c r="E15" i="3"/>
  <c r="E17" i="3"/>
  <c r="E18" i="3"/>
  <c r="E19" i="3"/>
  <c r="E20" i="3"/>
  <c r="E21" i="3"/>
  <c r="E23" i="3"/>
  <c r="E24" i="3"/>
  <c r="E25" i="3"/>
  <c r="E26" i="3"/>
  <c r="E27" i="3"/>
  <c r="E29" i="3"/>
  <c r="E30" i="3"/>
  <c r="E31" i="3"/>
  <c r="E32" i="3"/>
  <c r="E33" i="3"/>
  <c r="E35" i="3"/>
  <c r="E36" i="3"/>
  <c r="E37" i="3"/>
  <c r="E38" i="3"/>
  <c r="E39" i="3"/>
  <c r="E41" i="3"/>
  <c r="E42" i="3"/>
  <c r="E43" i="3"/>
  <c r="E44" i="3"/>
  <c r="E45" i="3"/>
  <c r="E47" i="3"/>
  <c r="E48" i="3"/>
  <c r="E49" i="3"/>
  <c r="E50" i="3"/>
  <c r="E51" i="3"/>
  <c r="E53" i="3"/>
  <c r="E54" i="3"/>
  <c r="E55" i="3"/>
  <c r="E56" i="3"/>
  <c r="E57" i="3"/>
  <c r="E59" i="3"/>
  <c r="E60" i="3"/>
  <c r="E61" i="3"/>
  <c r="E62" i="3"/>
  <c r="E63" i="3"/>
  <c r="E65" i="3"/>
  <c r="E66" i="3"/>
  <c r="E67" i="3"/>
  <c r="E68" i="3"/>
  <c r="E69" i="3"/>
  <c r="E71" i="3"/>
  <c r="E72" i="3"/>
  <c r="E73" i="3"/>
  <c r="E74" i="3"/>
  <c r="E75" i="3"/>
  <c r="E77" i="3"/>
  <c r="E78" i="3"/>
  <c r="E79" i="3"/>
  <c r="E80" i="3"/>
  <c r="E81" i="3"/>
  <c r="E83" i="3"/>
  <c r="E84" i="3"/>
  <c r="E85" i="3"/>
  <c r="E86" i="3"/>
  <c r="E87" i="3"/>
  <c r="E89" i="3"/>
  <c r="E90" i="3"/>
  <c r="E91" i="3"/>
  <c r="E92" i="3"/>
  <c r="E93" i="3"/>
  <c r="E95" i="3"/>
  <c r="E96" i="3"/>
  <c r="E97" i="3"/>
  <c r="E98" i="3"/>
  <c r="E99" i="3"/>
  <c r="E101" i="3"/>
  <c r="E102" i="3"/>
  <c r="E103" i="3"/>
  <c r="E104" i="3"/>
  <c r="E105" i="3"/>
  <c r="E107" i="3"/>
  <c r="E108" i="3"/>
  <c r="E109" i="3"/>
  <c r="E110" i="3"/>
  <c r="E111" i="3"/>
  <c r="E113" i="3"/>
  <c r="E114" i="3"/>
  <c r="E115" i="3"/>
  <c r="E116" i="3"/>
  <c r="E117" i="3"/>
  <c r="E119" i="3"/>
  <c r="E120" i="3"/>
  <c r="E121" i="3"/>
  <c r="E122" i="3"/>
  <c r="E123" i="3"/>
  <c r="E5" i="3"/>
  <c r="D6" i="3"/>
  <c r="D7" i="3"/>
  <c r="D8" i="3"/>
  <c r="D9" i="3"/>
  <c r="D11" i="3"/>
  <c r="D12" i="3"/>
  <c r="D13" i="3"/>
  <c r="D14" i="3"/>
  <c r="D15" i="3"/>
  <c r="D17" i="3"/>
  <c r="D18" i="3"/>
  <c r="D19" i="3"/>
  <c r="D20" i="3"/>
  <c r="D21" i="3"/>
  <c r="D23" i="3"/>
  <c r="D24" i="3"/>
  <c r="D25" i="3"/>
  <c r="D26" i="3"/>
  <c r="D27" i="3"/>
  <c r="D29" i="3"/>
  <c r="D30" i="3"/>
  <c r="D31" i="3"/>
  <c r="D32" i="3"/>
  <c r="D33" i="3"/>
  <c r="D35" i="3"/>
  <c r="D36" i="3"/>
  <c r="D37" i="3"/>
  <c r="D38" i="3"/>
  <c r="D39" i="3"/>
  <c r="D41" i="3"/>
  <c r="D42" i="3"/>
  <c r="D43" i="3"/>
  <c r="D44" i="3"/>
  <c r="D45" i="3"/>
  <c r="D47" i="3"/>
  <c r="D48" i="3"/>
  <c r="D49" i="3"/>
  <c r="D50" i="3"/>
  <c r="D51" i="3"/>
  <c r="D53" i="3"/>
  <c r="D54" i="3"/>
  <c r="D55" i="3"/>
  <c r="D56" i="3"/>
  <c r="D57" i="3"/>
  <c r="D59" i="3"/>
  <c r="D60" i="3"/>
  <c r="D61" i="3"/>
  <c r="D62" i="3"/>
  <c r="D63" i="3"/>
  <c r="D65" i="3"/>
  <c r="D66" i="3"/>
  <c r="D67" i="3"/>
  <c r="D68" i="3"/>
  <c r="D69" i="3"/>
  <c r="D71" i="3"/>
  <c r="D72" i="3"/>
  <c r="D73" i="3"/>
  <c r="D74" i="3"/>
  <c r="D75" i="3"/>
  <c r="D77" i="3"/>
  <c r="D78" i="3"/>
  <c r="D79" i="3"/>
  <c r="D80" i="3"/>
  <c r="D81" i="3"/>
  <c r="D83" i="3"/>
  <c r="D84" i="3"/>
  <c r="D85" i="3"/>
  <c r="D86" i="3"/>
  <c r="D87" i="3"/>
  <c r="D89" i="3"/>
  <c r="D90" i="3"/>
  <c r="D91" i="3"/>
  <c r="D92" i="3"/>
  <c r="D93" i="3"/>
  <c r="D95" i="3"/>
  <c r="D96" i="3"/>
  <c r="D97" i="3"/>
  <c r="D98" i="3"/>
  <c r="D99" i="3"/>
  <c r="D101" i="3"/>
  <c r="D102" i="3"/>
  <c r="D103" i="3"/>
  <c r="D104" i="3"/>
  <c r="D105" i="3"/>
  <c r="D107" i="3"/>
  <c r="D108" i="3"/>
  <c r="D109" i="3"/>
  <c r="D110" i="3"/>
  <c r="D111" i="3"/>
  <c r="D113" i="3"/>
  <c r="D114" i="3"/>
  <c r="D115" i="3"/>
  <c r="D116" i="3"/>
  <c r="D117" i="3"/>
  <c r="D119" i="3"/>
  <c r="D120" i="3"/>
  <c r="D121" i="3"/>
  <c r="D122" i="3"/>
  <c r="D123" i="3"/>
  <c r="D5" i="3"/>
  <c r="C6" i="3"/>
  <c r="C7" i="3"/>
  <c r="C8" i="3"/>
  <c r="C9" i="3"/>
  <c r="C11" i="3"/>
  <c r="C12" i="3"/>
  <c r="C13" i="3"/>
  <c r="C14" i="3"/>
  <c r="C15" i="3"/>
  <c r="C17" i="3"/>
  <c r="C18" i="3"/>
  <c r="C19" i="3"/>
  <c r="C20" i="3"/>
  <c r="C21" i="3"/>
  <c r="C23" i="3"/>
  <c r="C24" i="3"/>
  <c r="C25" i="3"/>
  <c r="C26" i="3"/>
  <c r="C27" i="3"/>
  <c r="C29" i="3"/>
  <c r="C30" i="3"/>
  <c r="C31" i="3"/>
  <c r="C32" i="3"/>
  <c r="C33" i="3"/>
  <c r="C35" i="3"/>
  <c r="C36" i="3"/>
  <c r="C37" i="3"/>
  <c r="C38" i="3"/>
  <c r="C39" i="3"/>
  <c r="C41" i="3"/>
  <c r="C42" i="3"/>
  <c r="C43" i="3"/>
  <c r="C44" i="3"/>
  <c r="C45" i="3"/>
  <c r="C47" i="3"/>
  <c r="C48" i="3"/>
  <c r="C49" i="3"/>
  <c r="C50" i="3"/>
  <c r="C51" i="3"/>
  <c r="C53" i="3"/>
  <c r="C54" i="3"/>
  <c r="C55" i="3"/>
  <c r="C56" i="3"/>
  <c r="C57" i="3"/>
  <c r="C59" i="3"/>
  <c r="C60" i="3"/>
  <c r="C61" i="3"/>
  <c r="C62" i="3"/>
  <c r="C63" i="3"/>
  <c r="C65" i="3"/>
  <c r="C66" i="3"/>
  <c r="C67" i="3"/>
  <c r="C68" i="3"/>
  <c r="C69" i="3"/>
  <c r="C71" i="3"/>
  <c r="C72" i="3"/>
  <c r="C73" i="3"/>
  <c r="C74" i="3"/>
  <c r="C75" i="3"/>
  <c r="C77" i="3"/>
  <c r="C78" i="3"/>
  <c r="C79" i="3"/>
  <c r="C80" i="3"/>
  <c r="C81" i="3"/>
  <c r="C83" i="3"/>
  <c r="C84" i="3"/>
  <c r="C85" i="3"/>
  <c r="C86" i="3"/>
  <c r="C87" i="3"/>
  <c r="C89" i="3"/>
  <c r="C90" i="3"/>
  <c r="C91" i="3"/>
  <c r="C92" i="3"/>
  <c r="C93" i="3"/>
  <c r="C95" i="3"/>
  <c r="C96" i="3"/>
  <c r="C97" i="3"/>
  <c r="C98" i="3"/>
  <c r="C99" i="3"/>
  <c r="C101" i="3"/>
  <c r="C102" i="3"/>
  <c r="C103" i="3"/>
  <c r="C104" i="3"/>
  <c r="C105" i="3"/>
  <c r="C107" i="3"/>
  <c r="C108" i="3"/>
  <c r="C109" i="3"/>
  <c r="C110" i="3"/>
  <c r="C111" i="3"/>
  <c r="C113" i="3"/>
  <c r="C114" i="3"/>
  <c r="C115" i="3"/>
  <c r="C116" i="3"/>
  <c r="C117" i="3"/>
  <c r="C119" i="3"/>
  <c r="C120" i="3"/>
  <c r="C121" i="3"/>
  <c r="C122" i="3"/>
  <c r="C123" i="3"/>
  <c r="C5" i="3"/>
  <c r="B6" i="3"/>
  <c r="B7" i="3"/>
  <c r="B8" i="3"/>
  <c r="B9" i="3"/>
  <c r="B11" i="3"/>
  <c r="B12" i="3"/>
  <c r="B13" i="3"/>
  <c r="B14" i="3"/>
  <c r="B15" i="3"/>
  <c r="B17" i="3"/>
  <c r="B18" i="3"/>
  <c r="B19" i="3"/>
  <c r="B20" i="3"/>
  <c r="B21" i="3"/>
  <c r="B23" i="3"/>
  <c r="B24" i="3"/>
  <c r="B25" i="3"/>
  <c r="B26" i="3"/>
  <c r="B27" i="3"/>
  <c r="B29" i="3"/>
  <c r="B30" i="3"/>
  <c r="B31" i="3"/>
  <c r="B32" i="3"/>
  <c r="B33" i="3"/>
  <c r="B35" i="3"/>
  <c r="B36" i="3"/>
  <c r="B37" i="3"/>
  <c r="B38" i="3"/>
  <c r="B39" i="3"/>
  <c r="B41" i="3"/>
  <c r="B42" i="3"/>
  <c r="B43" i="3"/>
  <c r="B44" i="3"/>
  <c r="B45" i="3"/>
  <c r="B47" i="3"/>
  <c r="B48" i="3"/>
  <c r="B49" i="3"/>
  <c r="B50" i="3"/>
  <c r="B51" i="3"/>
  <c r="B53" i="3"/>
  <c r="B54" i="3"/>
  <c r="B55" i="3"/>
  <c r="B56" i="3"/>
  <c r="B57" i="3"/>
  <c r="B59" i="3"/>
  <c r="B60" i="3"/>
  <c r="B61" i="3"/>
  <c r="B62" i="3"/>
  <c r="B63" i="3"/>
  <c r="B65" i="3"/>
  <c r="B66" i="3"/>
  <c r="B67" i="3"/>
  <c r="B68" i="3"/>
  <c r="B69" i="3"/>
  <c r="B71" i="3"/>
  <c r="B72" i="3"/>
  <c r="B73" i="3"/>
  <c r="B74" i="3"/>
  <c r="B75" i="3"/>
  <c r="B77" i="3"/>
  <c r="B78" i="3"/>
  <c r="B79" i="3"/>
  <c r="B80" i="3"/>
  <c r="B81" i="3"/>
  <c r="B83" i="3"/>
  <c r="B84" i="3"/>
  <c r="B85" i="3"/>
  <c r="B86" i="3"/>
  <c r="B87" i="3"/>
  <c r="B89" i="3"/>
  <c r="B90" i="3"/>
  <c r="B91" i="3"/>
  <c r="B92" i="3"/>
  <c r="B93" i="3"/>
  <c r="B95" i="3"/>
  <c r="B96" i="3"/>
  <c r="B97" i="3"/>
  <c r="B98" i="3"/>
  <c r="B99" i="3"/>
  <c r="B101" i="3"/>
  <c r="B102" i="3"/>
  <c r="B103" i="3"/>
  <c r="B104" i="3"/>
  <c r="B105" i="3"/>
  <c r="B107" i="3"/>
  <c r="B108" i="3"/>
  <c r="B109" i="3"/>
  <c r="B110" i="3"/>
  <c r="B111" i="3"/>
  <c r="B113" i="3"/>
  <c r="B114" i="3"/>
  <c r="B115" i="3"/>
  <c r="B116" i="3"/>
  <c r="B117" i="3"/>
  <c r="B119" i="3"/>
  <c r="B120" i="3"/>
  <c r="B121" i="3"/>
  <c r="B122" i="3"/>
  <c r="B123" i="3"/>
  <c r="B5" i="3"/>
  <c r="L11" i="3"/>
  <c r="L12" i="3"/>
  <c r="L13" i="3"/>
  <c r="L14" i="3"/>
  <c r="L15" i="3"/>
  <c r="L17" i="3"/>
  <c r="L18" i="3"/>
  <c r="L19" i="3"/>
  <c r="L20" i="3"/>
  <c r="L21" i="3"/>
  <c r="L23" i="3"/>
  <c r="L24" i="3"/>
  <c r="L25" i="3"/>
  <c r="L26" i="3"/>
  <c r="L27" i="3"/>
  <c r="L29" i="3"/>
  <c r="L30" i="3"/>
  <c r="L31" i="3"/>
  <c r="L32" i="3"/>
  <c r="L33" i="3"/>
  <c r="L35" i="3"/>
  <c r="L36" i="3"/>
  <c r="L37" i="3"/>
  <c r="L38" i="3"/>
  <c r="L39" i="3"/>
  <c r="L41" i="3"/>
  <c r="L42" i="3"/>
  <c r="L43" i="3"/>
  <c r="L44" i="3"/>
  <c r="L45" i="3"/>
  <c r="L47" i="3"/>
  <c r="L48" i="3"/>
  <c r="L49" i="3"/>
  <c r="L50" i="3"/>
  <c r="L51" i="3"/>
  <c r="L53" i="3"/>
  <c r="L54" i="3"/>
  <c r="L55" i="3"/>
  <c r="L56" i="3"/>
  <c r="L57" i="3"/>
  <c r="L59" i="3"/>
  <c r="L60" i="3"/>
  <c r="L61" i="3"/>
  <c r="L62" i="3"/>
  <c r="L63" i="3"/>
  <c r="L65" i="3"/>
  <c r="L66" i="3"/>
  <c r="L67" i="3"/>
  <c r="L68" i="3"/>
  <c r="L69" i="3"/>
  <c r="L71" i="3"/>
  <c r="L72" i="3"/>
  <c r="L73" i="3"/>
  <c r="L74" i="3"/>
  <c r="L75" i="3"/>
  <c r="L77" i="3"/>
  <c r="L78" i="3"/>
  <c r="L79" i="3"/>
  <c r="L80" i="3"/>
  <c r="L81" i="3"/>
  <c r="L83" i="3"/>
  <c r="L84" i="3"/>
  <c r="L85" i="3"/>
  <c r="L86" i="3"/>
  <c r="L87" i="3"/>
  <c r="L89" i="3"/>
  <c r="L90" i="3"/>
  <c r="L91" i="3"/>
  <c r="L92" i="3"/>
  <c r="L93" i="3"/>
  <c r="L95" i="3"/>
  <c r="L96" i="3"/>
  <c r="L97" i="3"/>
  <c r="L98" i="3"/>
  <c r="L99" i="3"/>
  <c r="L101" i="3"/>
  <c r="L102" i="3"/>
  <c r="L103" i="3"/>
  <c r="L104" i="3"/>
  <c r="L105" i="3"/>
  <c r="L107" i="3"/>
  <c r="L108" i="3"/>
  <c r="L109" i="3"/>
  <c r="L110" i="3"/>
  <c r="L111" i="3"/>
  <c r="L113" i="3"/>
  <c r="L114" i="3"/>
  <c r="L115" i="3"/>
  <c r="L116" i="3"/>
  <c r="L117" i="3"/>
  <c r="L119" i="3"/>
  <c r="L120" i="3"/>
  <c r="L121" i="3"/>
  <c r="L122" i="3"/>
  <c r="L123" i="3"/>
  <c r="L6" i="3"/>
  <c r="L7" i="3"/>
  <c r="L8" i="3"/>
  <c r="L9" i="3"/>
  <c r="L5" i="3"/>
  <c r="I23" i="2"/>
  <c r="I28" i="2" s="1"/>
  <c r="G14" i="2" l="1"/>
  <c r="G15" i="2"/>
  <c r="G16" i="2"/>
  <c r="G13" i="2"/>
  <c r="G10" i="2"/>
  <c r="G11" i="2"/>
  <c r="G12" i="2"/>
  <c r="G9" i="2"/>
  <c r="G6" i="2"/>
  <c r="G7" i="2"/>
  <c r="G8" i="2"/>
  <c r="G5" i="2"/>
  <c r="C9" i="2"/>
  <c r="D9" i="2"/>
  <c r="B9" i="2"/>
  <c r="E8" i="2"/>
  <c r="E7" i="2"/>
  <c r="E6" i="2"/>
  <c r="E5" i="2"/>
  <c r="E9" i="2" l="1"/>
  <c r="D17" i="2" l="1"/>
  <c r="H14" i="2" s="1"/>
  <c r="I14" i="2" s="1"/>
  <c r="J14" i="2" s="1"/>
  <c r="K14" i="2" s="1"/>
  <c r="D18" i="2"/>
  <c r="H15" i="2" s="1"/>
  <c r="I15" i="2" s="1"/>
  <c r="J15" i="2" s="1"/>
  <c r="K15" i="2" s="1"/>
  <c r="B18" i="2"/>
  <c r="H7" i="2" s="1"/>
  <c r="I7" i="2" s="1"/>
  <c r="J7" i="2" s="1"/>
  <c r="K7" i="2" s="1"/>
  <c r="B17" i="2"/>
  <c r="H6" i="2" s="1"/>
  <c r="I6" i="2" s="1"/>
  <c r="J6" i="2" s="1"/>
  <c r="K6" i="2" s="1"/>
  <c r="D16" i="2"/>
  <c r="H13" i="2" s="1"/>
  <c r="I13" i="2" s="1"/>
  <c r="J13" i="2" s="1"/>
  <c r="K13" i="2" s="1"/>
  <c r="C19" i="2"/>
  <c r="H12" i="2" s="1"/>
  <c r="I12" i="2" s="1"/>
  <c r="J12" i="2" s="1"/>
  <c r="K12" i="2" s="1"/>
  <c r="B16" i="2"/>
  <c r="B19" i="2"/>
  <c r="E19" i="2" s="1"/>
  <c r="C16" i="2"/>
  <c r="H9" i="2" s="1"/>
  <c r="I9" i="2" s="1"/>
  <c r="J9" i="2" s="1"/>
  <c r="K9" i="2" s="1"/>
  <c r="C17" i="2"/>
  <c r="H10" i="2" s="1"/>
  <c r="I10" i="2" s="1"/>
  <c r="J10" i="2" s="1"/>
  <c r="K10" i="2" s="1"/>
  <c r="D19" i="2"/>
  <c r="H16" i="2" s="1"/>
  <c r="I16" i="2" s="1"/>
  <c r="J16" i="2" s="1"/>
  <c r="K16" i="2" s="1"/>
  <c r="C18" i="2"/>
  <c r="H11" i="2" s="1"/>
  <c r="I11" i="2" s="1"/>
  <c r="J11" i="2" s="1"/>
  <c r="K11" i="2" s="1"/>
  <c r="E17" i="2" l="1"/>
  <c r="M27" i="2"/>
  <c r="M28" i="2" s="1"/>
  <c r="H8" i="2"/>
  <c r="I8" i="2" s="1"/>
  <c r="J8" i="2" s="1"/>
  <c r="K8" i="2" s="1"/>
  <c r="H5" i="2"/>
  <c r="I5" i="2" s="1"/>
  <c r="J5" i="2" s="1"/>
  <c r="K5" i="2" s="1"/>
  <c r="E16" i="2"/>
  <c r="B20" i="2"/>
  <c r="C20" i="2"/>
  <c r="E18" i="2"/>
  <c r="D20" i="2"/>
  <c r="K17" i="2" l="1"/>
  <c r="F36" i="2" s="1"/>
  <c r="E20" i="2"/>
  <c r="F37" i="2" l="1"/>
</calcChain>
</file>

<file path=xl/sharedStrings.xml><?xml version="1.0" encoding="utf-8"?>
<sst xmlns="http://schemas.openxmlformats.org/spreadsheetml/2006/main" count="73" uniqueCount="58">
  <si>
    <t>Total</t>
  </si>
  <si>
    <t>fo - fe</t>
  </si>
  <si>
    <t>fo</t>
  </si>
  <si>
    <t>fe</t>
  </si>
  <si>
    <r>
      <t>(fo - fe)</t>
    </r>
    <r>
      <rPr>
        <i/>
        <vertAlign val="super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/fe</t>
    </r>
  </si>
  <si>
    <r>
      <t>(fo - fe)</t>
    </r>
    <r>
      <rPr>
        <i/>
        <vertAlign val="superscript"/>
        <sz val="11"/>
        <color theme="1"/>
        <rFont val="Calibri"/>
        <family val="2"/>
        <scheme val="minor"/>
      </rPr>
      <t>2</t>
    </r>
  </si>
  <si>
    <t>Frecuencias observadas</t>
  </si>
  <si>
    <t>Frecuencias esperadas</t>
  </si>
  <si>
    <t>Grados de libertad</t>
  </si>
  <si>
    <t>Número de filas</t>
  </si>
  <si>
    <t>Número de columnas</t>
  </si>
  <si>
    <t>Nivel de confianza</t>
  </si>
  <si>
    <t>Nivel de confianza:</t>
  </si>
  <si>
    <t>Grados de libertad:</t>
  </si>
  <si>
    <t>Nivel de significancia:</t>
  </si>
  <si>
    <t>Hipotesis nula:</t>
  </si>
  <si>
    <t>Hipotesis alternativa:</t>
  </si>
  <si>
    <t>Reglas de decisión:</t>
  </si>
  <si>
    <t>Probabilidad</t>
  </si>
  <si>
    <r>
      <t xml:space="preserve">Distribución chi cuadrada </t>
    </r>
    <r>
      <rPr>
        <b/>
        <sz val="12"/>
        <color theme="1"/>
        <rFont val="Calibri"/>
        <family val="2"/>
      </rPr>
      <t>χ</t>
    </r>
    <r>
      <rPr>
        <b/>
        <vertAlign val="superscript"/>
        <sz val="12"/>
        <color theme="1"/>
        <rFont val="Calibri"/>
        <family val="2"/>
      </rPr>
      <t>2</t>
    </r>
  </si>
  <si>
    <t>para intervalos de confianza o pruebas de hipótesis con desviación estándar o varianza</t>
  </si>
  <si>
    <r>
      <t xml:space="preserve">para experimentos multinomiales o bondad de ajuste con </t>
    </r>
    <r>
      <rPr>
        <i/>
        <sz val="9"/>
        <color theme="1"/>
        <rFont val="Calibri"/>
        <family val="2"/>
        <scheme val="minor"/>
      </rPr>
      <t>k</t>
    </r>
    <r>
      <rPr>
        <sz val="9"/>
        <color theme="1"/>
        <rFont val="Calibri"/>
        <family val="2"/>
        <scheme val="minor"/>
      </rPr>
      <t xml:space="preserve"> categorías</t>
    </r>
  </si>
  <si>
    <r>
      <t xml:space="preserve">para tablas de contingencia con </t>
    </r>
    <r>
      <rPr>
        <i/>
        <sz val="9"/>
        <color theme="1"/>
        <rFont val="Calibri"/>
        <family val="2"/>
        <scheme val="minor"/>
      </rPr>
      <t>r</t>
    </r>
    <r>
      <rPr>
        <sz val="9"/>
        <color theme="1"/>
        <rFont val="Calibri"/>
        <family val="2"/>
        <scheme val="minor"/>
      </rPr>
      <t xml:space="preserve"> renglones y </t>
    </r>
    <r>
      <rPr>
        <i/>
        <sz val="9"/>
        <color theme="1"/>
        <rFont val="Calibri"/>
        <family val="2"/>
        <scheme val="minor"/>
      </rPr>
      <t>c</t>
    </r>
    <r>
      <rPr>
        <sz val="9"/>
        <color theme="1"/>
        <rFont val="Calibri"/>
        <family val="2"/>
        <scheme val="minor"/>
      </rPr>
      <t xml:space="preserve"> columnas</t>
    </r>
  </si>
  <si>
    <r>
      <t xml:space="preserve">para la prueba de Kruskal-Wallis con </t>
    </r>
    <r>
      <rPr>
        <i/>
        <sz val="9"/>
        <color theme="1"/>
        <rFont val="Calibri"/>
        <family val="2"/>
        <scheme val="minor"/>
      </rPr>
      <t>k</t>
    </r>
    <r>
      <rPr>
        <sz val="9"/>
        <color theme="1"/>
        <rFont val="Calibri"/>
        <family val="2"/>
        <scheme val="minor"/>
      </rPr>
      <t xml:space="preserve"> muestras</t>
    </r>
  </si>
  <si>
    <t>p = 1 - α</t>
  </si>
  <si>
    <t>α</t>
  </si>
  <si>
    <t>Nivel de significación</t>
  </si>
  <si>
    <t>probabilidad de que el parámetro a estimar se encuentre en el intervalo de confianza</t>
  </si>
  <si>
    <t>v = n - 1</t>
  </si>
  <si>
    <t>v = k - 1</t>
  </si>
  <si>
    <t>v = (r - 1) (c - 1)</t>
  </si>
  <si>
    <t>Cálculo manual</t>
  </si>
  <si>
    <t>Chi cuadrada:</t>
  </si>
  <si>
    <t>Nivel de significación:</t>
  </si>
  <si>
    <r>
      <rPr>
        <b/>
        <sz val="11"/>
        <color theme="1"/>
        <rFont val="Calibri"/>
        <family val="2"/>
        <scheme val="minor"/>
      </rPr>
      <t xml:space="preserve">Nivel de significación </t>
    </r>
    <r>
      <rPr>
        <b/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 xml:space="preserve">
</t>
    </r>
    <r>
      <rPr>
        <i/>
        <sz val="9"/>
        <color theme="1"/>
        <rFont val="Calibri"/>
        <family val="2"/>
        <scheme val="minor"/>
      </rPr>
      <t>(área a la derecha del valor crítico de chi)</t>
    </r>
  </si>
  <si>
    <t>área correspondiente al extremo derecho de la distribución chi cuadrada</t>
  </si>
  <si>
    <t>reamadoh.blogspot.com</t>
  </si>
  <si>
    <t>www.terratronica.com</t>
  </si>
  <si>
    <t>Créditos:</t>
  </si>
  <si>
    <t>Ricardo Amado</t>
  </si>
  <si>
    <t>Chi cuadrada calculada</t>
  </si>
  <si>
    <t>Excel</t>
  </si>
  <si>
    <t>Valor calculado de Chi cuadrada</t>
  </si>
  <si>
    <t>Valor crítico de Chi cuadrada</t>
  </si>
  <si>
    <t>Si el valor calculado de chi cuadrada es mayor que el valor crítico, se rechaza la hipótesis nula.</t>
  </si>
  <si>
    <t>Si el valor calculado de chi cuadrada es menor que el valor crítico, se acepta la hipótesis nula.</t>
  </si>
  <si>
    <t>Créditos: M. Sc. Ricardo E. Amado H.
reamadoh@hotmail.com</t>
  </si>
  <si>
    <t>Normal</t>
  </si>
  <si>
    <t>Marca del disco duro</t>
  </si>
  <si>
    <t>Toshiba</t>
  </si>
  <si>
    <t>Seagate</t>
  </si>
  <si>
    <t>Western Digital</t>
  </si>
  <si>
    <t>Maxtor</t>
  </si>
  <si>
    <t>Durabilidad</t>
  </si>
  <si>
    <t>Baja</t>
  </si>
  <si>
    <t>Alta</t>
  </si>
  <si>
    <t>No existe relación entre el la marca del disco duro y su durabilidad.</t>
  </si>
  <si>
    <t>Si existe relación entre el la marca del disco duro y su durabilidad.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</si>
</sst>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1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9"/>
      <color theme="1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i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7" xfId="0" applyBorder="1"/>
    <xf numFmtId="165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/>
    <xf numFmtId="0" fontId="8" fillId="0" borderId="0" xfId="0" applyFont="1"/>
    <xf numFmtId="165" fontId="5" fillId="0" borderId="0" xfId="0" applyNumberFormat="1" applyFont="1" applyAlignment="1" applyProtection="1">
      <alignment horizontal="center" vertical="center"/>
      <protection hidden="1"/>
    </xf>
    <xf numFmtId="165" fontId="5" fillId="0" borderId="11" xfId="0" applyNumberFormat="1" applyFont="1" applyBorder="1" applyAlignment="1" applyProtection="1">
      <alignment horizontal="center" vertical="center"/>
      <protection hidden="1"/>
    </xf>
    <xf numFmtId="165" fontId="5" fillId="0" borderId="12" xfId="0" applyNumberFormat="1" applyFont="1" applyBorder="1" applyAlignment="1" applyProtection="1">
      <alignment horizontal="center" vertical="center"/>
      <protection hidden="1"/>
    </xf>
    <xf numFmtId="165" fontId="5" fillId="0" borderId="8" xfId="0" applyNumberFormat="1" applyFont="1" applyBorder="1" applyAlignment="1" applyProtection="1">
      <alignment horizontal="center" vertical="center"/>
      <protection hidden="1"/>
    </xf>
    <xf numFmtId="0" fontId="11" fillId="5" borderId="12" xfId="0" applyFont="1" applyFill="1" applyBorder="1" applyAlignment="1">
      <alignment horizontal="center" vertical="center"/>
    </xf>
    <xf numFmtId="2" fontId="11" fillId="5" borderId="12" xfId="0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1" fillId="0" borderId="1" xfId="0" applyNumberFormat="1" applyFont="1" applyBorder="1" applyAlignment="1" applyProtection="1">
      <alignment horizontal="left" vertical="center"/>
      <protection locked="0"/>
    </xf>
    <xf numFmtId="166" fontId="11" fillId="0" borderId="1" xfId="0" applyNumberFormat="1" applyFont="1" applyBorder="1" applyAlignment="1" applyProtection="1">
      <alignment horizontal="left" vertical="center"/>
      <protection locked="0"/>
    </xf>
    <xf numFmtId="0" fontId="12" fillId="0" borderId="0" xfId="0" applyFont="1"/>
    <xf numFmtId="0" fontId="12" fillId="0" borderId="0" xfId="0" applyFont="1" applyAlignment="1">
      <alignment vertical="top"/>
    </xf>
    <xf numFmtId="0" fontId="12" fillId="0" borderId="0" xfId="0" applyFont="1" applyAlignment="1">
      <alignment horizontal="right"/>
    </xf>
    <xf numFmtId="0" fontId="5" fillId="0" borderId="1" xfId="0" applyFont="1" applyBorder="1" applyAlignment="1">
      <alignment horizontal="left" vertical="center"/>
    </xf>
    <xf numFmtId="165" fontId="11" fillId="3" borderId="1" xfId="0" applyNumberFormat="1" applyFont="1" applyFill="1" applyBorder="1" applyAlignment="1" applyProtection="1">
      <alignment horizontal="left" vertical="center"/>
      <protection hidden="1"/>
    </xf>
    <xf numFmtId="164" fontId="2" fillId="2" borderId="1" xfId="0" applyNumberFormat="1" applyFont="1" applyFill="1" applyBorder="1"/>
    <xf numFmtId="165" fontId="2" fillId="2" borderId="1" xfId="0" applyNumberFormat="1" applyFont="1" applyFill="1" applyBorder="1"/>
    <xf numFmtId="0" fontId="13" fillId="0" borderId="0" xfId="0" applyFont="1" applyAlignment="1">
      <alignment horizontal="right"/>
    </xf>
    <xf numFmtId="0" fontId="0" fillId="0" borderId="1" xfId="0" applyBorder="1" applyAlignment="1" applyProtection="1">
      <alignment horizontal="center" vertical="center"/>
      <protection locked="0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5" borderId="10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312420</xdr:colOff>
      <xdr:row>4</xdr:row>
      <xdr:rowOff>26241</xdr:rowOff>
    </xdr:from>
    <xdr:to>
      <xdr:col>21</xdr:col>
      <xdr:colOff>114300</xdr:colOff>
      <xdr:row>17</xdr:row>
      <xdr:rowOff>11402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1222581"/>
          <a:ext cx="5280660" cy="2362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7"/>
  <sheetViews>
    <sheetView tabSelected="1" zoomScaleNormal="100" workbookViewId="0"/>
  </sheetViews>
  <sheetFormatPr baseColWidth="10" defaultRowHeight="15" x14ac:dyDescent="0.25"/>
  <cols>
    <col min="1" max="1" width="23.5703125" customWidth="1"/>
    <col min="2" max="5" width="11.7109375" customWidth="1"/>
    <col min="6" max="6" width="4.7109375" customWidth="1"/>
    <col min="7" max="11" width="12.7109375" customWidth="1"/>
    <col min="12" max="12" width="6.7109375" customWidth="1"/>
  </cols>
  <sheetData>
    <row r="2" spans="1:15" x14ac:dyDescent="0.25">
      <c r="A2" t="s">
        <v>6</v>
      </c>
      <c r="M2" s="46" t="s">
        <v>46</v>
      </c>
      <c r="N2" s="47"/>
      <c r="O2" s="47"/>
    </row>
    <row r="3" spans="1:15" ht="14.45" customHeight="1" x14ac:dyDescent="0.25">
      <c r="A3" s="10"/>
      <c r="B3" s="48" t="s">
        <v>53</v>
      </c>
      <c r="C3" s="48"/>
      <c r="D3" s="48"/>
      <c r="E3" s="11"/>
      <c r="G3" s="49" t="s">
        <v>2</v>
      </c>
      <c r="H3" s="49" t="s">
        <v>3</v>
      </c>
      <c r="I3" s="49" t="s">
        <v>1</v>
      </c>
      <c r="J3" s="49" t="s">
        <v>5</v>
      </c>
      <c r="K3" s="49" t="s">
        <v>4</v>
      </c>
      <c r="M3" s="47"/>
      <c r="N3" s="47"/>
      <c r="O3" s="47"/>
    </row>
    <row r="4" spans="1:15" x14ac:dyDescent="0.25">
      <c r="A4" s="4" t="s">
        <v>48</v>
      </c>
      <c r="B4" s="9" t="s">
        <v>54</v>
      </c>
      <c r="C4" s="9" t="s">
        <v>47</v>
      </c>
      <c r="D4" s="9" t="s">
        <v>55</v>
      </c>
      <c r="E4" s="5" t="s">
        <v>0</v>
      </c>
      <c r="G4" s="49"/>
      <c r="H4" s="49"/>
      <c r="I4" s="49"/>
      <c r="J4" s="49"/>
      <c r="K4" s="49"/>
    </row>
    <row r="5" spans="1:15" x14ac:dyDescent="0.25">
      <c r="A5" s="4" t="s">
        <v>49</v>
      </c>
      <c r="B5" s="40">
        <v>2</v>
      </c>
      <c r="C5" s="40">
        <v>8</v>
      </c>
      <c r="D5" s="40">
        <v>4</v>
      </c>
      <c r="E5" s="6">
        <f>SUM(B5:D5)</f>
        <v>14</v>
      </c>
      <c r="G5" s="1">
        <f>B5</f>
        <v>2</v>
      </c>
      <c r="H5" s="8">
        <f>B16</f>
        <v>3.15</v>
      </c>
      <c r="I5" s="8">
        <f>G5-H5</f>
        <v>-1.1499999999999999</v>
      </c>
      <c r="J5" s="8">
        <f>I5*I5</f>
        <v>1.3224999999999998</v>
      </c>
      <c r="K5" s="8">
        <f>J5/H5</f>
        <v>0.41984126984126979</v>
      </c>
    </row>
    <row r="6" spans="1:15" x14ac:dyDescent="0.25">
      <c r="A6" s="4" t="s">
        <v>50</v>
      </c>
      <c r="B6" s="40">
        <v>2</v>
      </c>
      <c r="C6" s="40">
        <v>7</v>
      </c>
      <c r="D6" s="40">
        <v>1</v>
      </c>
      <c r="E6" s="6">
        <f>SUM(B6:D6)</f>
        <v>10</v>
      </c>
      <c r="G6" s="1">
        <f>B6</f>
        <v>2</v>
      </c>
      <c r="H6" s="8">
        <f>B17</f>
        <v>2.25</v>
      </c>
      <c r="I6" s="8">
        <f t="shared" ref="I6:I16" si="0">G6-H6</f>
        <v>-0.25</v>
      </c>
      <c r="J6" s="8">
        <f t="shared" ref="J6:J16" si="1">I6*I6</f>
        <v>6.25E-2</v>
      </c>
      <c r="K6" s="8">
        <f t="shared" ref="K6:K16" si="2">J6/H6</f>
        <v>2.7777777777777776E-2</v>
      </c>
    </row>
    <row r="7" spans="1:15" x14ac:dyDescent="0.25">
      <c r="A7" s="4" t="s">
        <v>51</v>
      </c>
      <c r="B7" s="40">
        <v>3</v>
      </c>
      <c r="C7" s="40">
        <v>4</v>
      </c>
      <c r="D7" s="40">
        <v>2</v>
      </c>
      <c r="E7" s="6">
        <f>SUM(B7:D7)</f>
        <v>9</v>
      </c>
      <c r="G7" s="1">
        <f>B7</f>
        <v>3</v>
      </c>
      <c r="H7" s="8">
        <f>B18</f>
        <v>2.0249999999999999</v>
      </c>
      <c r="I7" s="8">
        <f t="shared" si="0"/>
        <v>0.97500000000000009</v>
      </c>
      <c r="J7" s="8">
        <f t="shared" si="1"/>
        <v>0.95062500000000016</v>
      </c>
      <c r="K7" s="8">
        <f t="shared" si="2"/>
        <v>0.46944444444444455</v>
      </c>
    </row>
    <row r="8" spans="1:15" x14ac:dyDescent="0.25">
      <c r="A8" s="4" t="s">
        <v>52</v>
      </c>
      <c r="B8" s="40">
        <v>2</v>
      </c>
      <c r="C8" s="40">
        <v>4</v>
      </c>
      <c r="D8" s="40">
        <v>1</v>
      </c>
      <c r="E8" s="6">
        <f>SUM(B8:D8)</f>
        <v>7</v>
      </c>
      <c r="G8" s="1">
        <f>B8</f>
        <v>2</v>
      </c>
      <c r="H8" s="8">
        <f>B19</f>
        <v>1.575</v>
      </c>
      <c r="I8" s="8">
        <f t="shared" si="0"/>
        <v>0.42500000000000004</v>
      </c>
      <c r="J8" s="8">
        <f t="shared" si="1"/>
        <v>0.18062500000000004</v>
      </c>
      <c r="K8" s="8">
        <f t="shared" si="2"/>
        <v>0.11468253968253971</v>
      </c>
    </row>
    <row r="9" spans="1:15" x14ac:dyDescent="0.25">
      <c r="A9" s="5" t="s">
        <v>0</v>
      </c>
      <c r="B9" s="6">
        <f>SUM(B5:B8)</f>
        <v>9</v>
      </c>
      <c r="C9" s="6">
        <f t="shared" ref="C9:E9" si="3">SUM(C5:C8)</f>
        <v>23</v>
      </c>
      <c r="D9" s="6">
        <f t="shared" si="3"/>
        <v>8</v>
      </c>
      <c r="E9" s="6">
        <f t="shared" si="3"/>
        <v>40</v>
      </c>
      <c r="G9" s="1">
        <f>C5</f>
        <v>8</v>
      </c>
      <c r="H9" s="8">
        <f>C16</f>
        <v>8.0500000000000007</v>
      </c>
      <c r="I9" s="8">
        <f t="shared" si="0"/>
        <v>-5.0000000000000711E-2</v>
      </c>
      <c r="J9" s="8">
        <f t="shared" si="1"/>
        <v>2.5000000000000712E-3</v>
      </c>
      <c r="K9" s="8">
        <f t="shared" si="2"/>
        <v>3.1055900621118892E-4</v>
      </c>
    </row>
    <row r="10" spans="1:15" x14ac:dyDescent="0.25">
      <c r="G10" s="1">
        <f>C6</f>
        <v>7</v>
      </c>
      <c r="H10" s="8">
        <f>C17</f>
        <v>5.75</v>
      </c>
      <c r="I10" s="8">
        <f t="shared" si="0"/>
        <v>1.25</v>
      </c>
      <c r="J10" s="8">
        <f t="shared" si="1"/>
        <v>1.5625</v>
      </c>
      <c r="K10" s="8">
        <f t="shared" si="2"/>
        <v>0.27173913043478259</v>
      </c>
    </row>
    <row r="11" spans="1:15" x14ac:dyDescent="0.25">
      <c r="G11" s="1">
        <f>C7</f>
        <v>4</v>
      </c>
      <c r="H11" s="8">
        <f>C18</f>
        <v>5.1749999999999998</v>
      </c>
      <c r="I11" s="8">
        <f t="shared" si="0"/>
        <v>-1.1749999999999998</v>
      </c>
      <c r="J11" s="8">
        <f t="shared" si="1"/>
        <v>1.3806249999999995</v>
      </c>
      <c r="K11" s="8">
        <f t="shared" si="2"/>
        <v>0.26678743961352647</v>
      </c>
    </row>
    <row r="12" spans="1:15" x14ac:dyDescent="0.25">
      <c r="G12" s="1">
        <f>C8</f>
        <v>4</v>
      </c>
      <c r="H12" s="8">
        <f>C19</f>
        <v>4.0250000000000004</v>
      </c>
      <c r="I12" s="8">
        <f t="shared" si="0"/>
        <v>-2.5000000000000355E-2</v>
      </c>
      <c r="J12" s="8">
        <f t="shared" si="1"/>
        <v>6.2500000000001779E-4</v>
      </c>
      <c r="K12" s="8">
        <f t="shared" si="2"/>
        <v>1.5527950310559446E-4</v>
      </c>
    </row>
    <row r="13" spans="1:15" x14ac:dyDescent="0.25">
      <c r="A13" t="s">
        <v>7</v>
      </c>
      <c r="G13" s="1">
        <f>D5</f>
        <v>4</v>
      </c>
      <c r="H13" s="8">
        <f>D16</f>
        <v>2.8</v>
      </c>
      <c r="I13" s="8">
        <f t="shared" si="0"/>
        <v>1.2000000000000002</v>
      </c>
      <c r="J13" s="8">
        <f t="shared" si="1"/>
        <v>1.4400000000000004</v>
      </c>
      <c r="K13" s="8">
        <f t="shared" si="2"/>
        <v>0.51428571428571446</v>
      </c>
    </row>
    <row r="14" spans="1:15" x14ac:dyDescent="0.25">
      <c r="A14" s="10"/>
      <c r="B14" s="48" t="s">
        <v>53</v>
      </c>
      <c r="C14" s="48"/>
      <c r="D14" s="48"/>
      <c r="E14" s="11"/>
      <c r="G14" s="1">
        <f>D6</f>
        <v>1</v>
      </c>
      <c r="H14" s="8">
        <f>D17</f>
        <v>2</v>
      </c>
      <c r="I14" s="8">
        <f t="shared" si="0"/>
        <v>-1</v>
      </c>
      <c r="J14" s="8">
        <f t="shared" si="1"/>
        <v>1</v>
      </c>
      <c r="K14" s="8">
        <f t="shared" si="2"/>
        <v>0.5</v>
      </c>
    </row>
    <row r="15" spans="1:15" x14ac:dyDescent="0.25">
      <c r="A15" s="4" t="s">
        <v>48</v>
      </c>
      <c r="B15" s="9" t="s">
        <v>54</v>
      </c>
      <c r="C15" s="9" t="s">
        <v>47</v>
      </c>
      <c r="D15" s="9" t="s">
        <v>55</v>
      </c>
      <c r="E15" s="5" t="s">
        <v>0</v>
      </c>
      <c r="G15" s="1">
        <f>D7</f>
        <v>2</v>
      </c>
      <c r="H15" s="8">
        <f>D18</f>
        <v>1.8</v>
      </c>
      <c r="I15" s="8">
        <f t="shared" si="0"/>
        <v>0.19999999999999996</v>
      </c>
      <c r="J15" s="8">
        <f t="shared" si="1"/>
        <v>3.999999999999998E-2</v>
      </c>
      <c r="K15" s="8">
        <f t="shared" si="2"/>
        <v>2.2222222222222209E-2</v>
      </c>
    </row>
    <row r="16" spans="1:15" x14ac:dyDescent="0.25">
      <c r="A16" s="4" t="s">
        <v>49</v>
      </c>
      <c r="B16" s="3">
        <f>$B$9*E5/$E$9</f>
        <v>3.15</v>
      </c>
      <c r="C16" s="3">
        <f>$C$9*E5/$E$9</f>
        <v>8.0500000000000007</v>
      </c>
      <c r="D16" s="3">
        <f>$D$9*E5/$E$9</f>
        <v>2.8</v>
      </c>
      <c r="E16" s="6">
        <f>SUM(B16:D16)</f>
        <v>14</v>
      </c>
      <c r="G16" s="1">
        <f>D8</f>
        <v>1</v>
      </c>
      <c r="H16" s="8">
        <f>D19</f>
        <v>1.4</v>
      </c>
      <c r="I16" s="8">
        <f t="shared" si="0"/>
        <v>-0.39999999999999991</v>
      </c>
      <c r="J16" s="8">
        <f t="shared" si="1"/>
        <v>0.15999999999999992</v>
      </c>
      <c r="K16" s="8">
        <f t="shared" si="2"/>
        <v>0.11428571428571424</v>
      </c>
    </row>
    <row r="17" spans="1:13" x14ac:dyDescent="0.25">
      <c r="A17" s="4" t="s">
        <v>50</v>
      </c>
      <c r="B17" s="3">
        <f>$B$9*E6/$E$9</f>
        <v>2.25</v>
      </c>
      <c r="C17" s="3">
        <f>$C$9*E6/$E$9</f>
        <v>5.75</v>
      </c>
      <c r="D17" s="3">
        <f>$D$9*E6/$E$9</f>
        <v>2</v>
      </c>
      <c r="E17" s="6">
        <f>SUM(B17:D17)</f>
        <v>10</v>
      </c>
      <c r="G17" s="50" t="s">
        <v>42</v>
      </c>
      <c r="H17" s="50"/>
      <c r="I17" s="50"/>
      <c r="J17" s="50"/>
      <c r="K17" s="12">
        <f>SUM(K5:K16)</f>
        <v>2.7215320910973086</v>
      </c>
    </row>
    <row r="18" spans="1:13" x14ac:dyDescent="0.25">
      <c r="A18" s="4" t="s">
        <v>51</v>
      </c>
      <c r="B18" s="3">
        <f>$B$9*E7/$E$9</f>
        <v>2.0249999999999999</v>
      </c>
      <c r="C18" s="3">
        <f>$C$9*E7/$E$9</f>
        <v>5.1749999999999998</v>
      </c>
      <c r="D18" s="3">
        <f>$D$9*E7/$E$9</f>
        <v>1.8</v>
      </c>
      <c r="E18" s="6">
        <f>SUM(B18:D18)</f>
        <v>9</v>
      </c>
    </row>
    <row r="19" spans="1:13" x14ac:dyDescent="0.25">
      <c r="A19" s="4" t="s">
        <v>52</v>
      </c>
      <c r="B19" s="3">
        <f>$B$9*E8/$E$9</f>
        <v>1.575</v>
      </c>
      <c r="C19" s="3">
        <f>$C$9*E8/$E$9</f>
        <v>4.0250000000000004</v>
      </c>
      <c r="D19" s="3">
        <f>$D$9*E8/$E$9</f>
        <v>1.4</v>
      </c>
      <c r="E19" s="6">
        <f>SUM(B19:D19)</f>
        <v>7</v>
      </c>
    </row>
    <row r="20" spans="1:13" x14ac:dyDescent="0.25">
      <c r="A20" s="5" t="s">
        <v>0</v>
      </c>
      <c r="B20" s="6">
        <f>SUM(B16:B19)</f>
        <v>9</v>
      </c>
      <c r="C20" s="6">
        <f t="shared" ref="C20" si="4">SUM(C16:C19)</f>
        <v>23</v>
      </c>
      <c r="D20" s="6">
        <f t="shared" ref="D20" si="5">SUM(D16:D19)</f>
        <v>8</v>
      </c>
      <c r="E20" s="6">
        <f t="shared" ref="E20" si="6">SUM(E16:E19)</f>
        <v>40</v>
      </c>
      <c r="G20" s="45" t="s">
        <v>9</v>
      </c>
      <c r="H20" s="45"/>
      <c r="I20" s="7">
        <v>4</v>
      </c>
    </row>
    <row r="21" spans="1:13" x14ac:dyDescent="0.25">
      <c r="G21" s="45" t="s">
        <v>10</v>
      </c>
      <c r="H21" s="45"/>
      <c r="I21" s="7">
        <v>3</v>
      </c>
    </row>
    <row r="23" spans="1:13" x14ac:dyDescent="0.25">
      <c r="G23" s="45" t="s">
        <v>13</v>
      </c>
      <c r="H23" s="45"/>
      <c r="I23" s="7">
        <f>(I20-1)*(I21-1)</f>
        <v>6</v>
      </c>
    </row>
    <row r="25" spans="1:13" x14ac:dyDescent="0.25">
      <c r="A25" s="16" t="s">
        <v>15</v>
      </c>
      <c r="G25" s="45" t="s">
        <v>12</v>
      </c>
      <c r="H25" s="45"/>
      <c r="I25" s="7">
        <f>1-I26</f>
        <v>0.95</v>
      </c>
    </row>
    <row r="26" spans="1:13" x14ac:dyDescent="0.25">
      <c r="A26" t="s">
        <v>56</v>
      </c>
      <c r="G26" s="45" t="s">
        <v>14</v>
      </c>
      <c r="H26" s="45"/>
      <c r="I26" s="7">
        <v>0.05</v>
      </c>
      <c r="K26" s="44" t="s">
        <v>41</v>
      </c>
      <c r="L26" s="44"/>
      <c r="M26" s="44"/>
    </row>
    <row r="27" spans="1:13" x14ac:dyDescent="0.25">
      <c r="K27" s="43" t="s">
        <v>18</v>
      </c>
      <c r="L27" s="43"/>
      <c r="M27" s="37">
        <f>_xlfn.CHISQ.TEST(B5:D8,B16:D19)</f>
        <v>0.84289745889396928</v>
      </c>
    </row>
    <row r="28" spans="1:13" x14ac:dyDescent="0.25">
      <c r="A28" s="16" t="s">
        <v>16</v>
      </c>
      <c r="G28" s="41" t="s">
        <v>43</v>
      </c>
      <c r="H28" s="42"/>
      <c r="I28" s="13">
        <f>_xlfn.CHISQ.INV.RT(I26,I23)</f>
        <v>12.591587243743978</v>
      </c>
      <c r="K28" s="43" t="s">
        <v>40</v>
      </c>
      <c r="L28" s="43"/>
      <c r="M28" s="38">
        <f>_xlfn.CHISQ.INV.RT(M27,I23)</f>
        <v>2.7215320910973078</v>
      </c>
    </row>
    <row r="29" spans="1:13" x14ac:dyDescent="0.25">
      <c r="A29" t="s">
        <v>57</v>
      </c>
    </row>
    <row r="31" spans="1:13" x14ac:dyDescent="0.25">
      <c r="G31" s="16" t="s">
        <v>17</v>
      </c>
    </row>
    <row r="32" spans="1:13" x14ac:dyDescent="0.25">
      <c r="G32" t="s">
        <v>44</v>
      </c>
    </row>
    <row r="33" spans="6:12" x14ac:dyDescent="0.25">
      <c r="G33" t="s">
        <v>45</v>
      </c>
      <c r="H33" s="14"/>
      <c r="I33" s="14"/>
      <c r="J33" s="14"/>
      <c r="K33" s="14"/>
      <c r="L33" s="14"/>
    </row>
    <row r="36" spans="6:12" x14ac:dyDescent="0.25">
      <c r="F36" s="39" t="str">
        <f>IF(K17&gt;I28,"Se elige ésta &gt;","")</f>
        <v/>
      </c>
    </row>
    <row r="37" spans="6:12" ht="14.45" customHeight="1" x14ac:dyDescent="0.25">
      <c r="F37" s="39" t="str">
        <f>IF(K17&lt;I28,"Se elige ésta &gt;","")</f>
        <v>Se elige ésta &gt;</v>
      </c>
    </row>
  </sheetData>
  <mergeCells count="18">
    <mergeCell ref="M2:O3"/>
    <mergeCell ref="B3:D3"/>
    <mergeCell ref="B14:D14"/>
    <mergeCell ref="K27:L27"/>
    <mergeCell ref="G3:G4"/>
    <mergeCell ref="H3:H4"/>
    <mergeCell ref="I3:I4"/>
    <mergeCell ref="J3:J4"/>
    <mergeCell ref="K3:K4"/>
    <mergeCell ref="G17:J17"/>
    <mergeCell ref="G20:H20"/>
    <mergeCell ref="G28:H28"/>
    <mergeCell ref="K28:L28"/>
    <mergeCell ref="K26:M26"/>
    <mergeCell ref="G23:H23"/>
    <mergeCell ref="G21:H21"/>
    <mergeCell ref="G26:H26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3"/>
  <sheetViews>
    <sheetView showGridLines="0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34" sqref="Q34"/>
    </sheetView>
  </sheetViews>
  <sheetFormatPr baseColWidth="10" defaultRowHeight="15" x14ac:dyDescent="0.25"/>
  <cols>
    <col min="1" max="1" width="8.7109375" customWidth="1"/>
    <col min="2" max="6" width="7.7109375" customWidth="1"/>
    <col min="7" max="7" width="2.7109375" customWidth="1"/>
    <col min="8" max="12" width="7.7109375" customWidth="1"/>
    <col min="13" max="13" width="4.7109375" customWidth="1"/>
    <col min="14" max="16" width="5.7109375" customWidth="1"/>
  </cols>
  <sheetData>
    <row r="1" spans="1:16" ht="18" x14ac:dyDescent="0.25">
      <c r="A1" s="17" t="s">
        <v>19</v>
      </c>
      <c r="O1" s="34" t="s">
        <v>38</v>
      </c>
      <c r="P1" s="32" t="s">
        <v>39</v>
      </c>
    </row>
    <row r="2" spans="1:16" x14ac:dyDescent="0.25">
      <c r="O2" s="2"/>
      <c r="P2" s="32" t="s">
        <v>36</v>
      </c>
    </row>
    <row r="3" spans="1:16" ht="33.6" customHeight="1" x14ac:dyDescent="0.25">
      <c r="A3" s="53" t="s">
        <v>8</v>
      </c>
      <c r="B3" s="51" t="s">
        <v>34</v>
      </c>
      <c r="C3" s="51"/>
      <c r="D3" s="51"/>
      <c r="E3" s="51"/>
      <c r="F3" s="51"/>
      <c r="G3" s="51"/>
      <c r="H3" s="51"/>
      <c r="I3" s="51"/>
      <c r="J3" s="51"/>
      <c r="K3" s="51"/>
      <c r="L3" s="52"/>
      <c r="O3" s="2"/>
      <c r="P3" s="33" t="s">
        <v>37</v>
      </c>
    </row>
    <row r="4" spans="1:16" ht="28.9" customHeight="1" x14ac:dyDescent="0.25">
      <c r="A4" s="54"/>
      <c r="B4" s="22">
        <v>0.995</v>
      </c>
      <c r="C4" s="22">
        <v>0.99</v>
      </c>
      <c r="D4" s="22">
        <v>0.97499999999999998</v>
      </c>
      <c r="E4" s="22">
        <v>0.95</v>
      </c>
      <c r="F4" s="23">
        <v>0.9</v>
      </c>
      <c r="G4" s="22"/>
      <c r="H4" s="23">
        <v>0.1</v>
      </c>
      <c r="I4" s="22">
        <v>0.05</v>
      </c>
      <c r="J4" s="22">
        <v>2.5000000000000001E-2</v>
      </c>
      <c r="K4" s="22">
        <v>0.01</v>
      </c>
      <c r="L4" s="24">
        <v>5.0000000000000001E-3</v>
      </c>
    </row>
    <row r="5" spans="1:16" x14ac:dyDescent="0.25">
      <c r="A5" s="25">
        <v>1</v>
      </c>
      <c r="B5" s="18">
        <f>_xlfn.CHISQ.INV.RT($B$4,A5)</f>
        <v>3.9270422220515978E-5</v>
      </c>
      <c r="C5" s="18">
        <f>_xlfn.CHISQ.INV.RT($C$4,A5)</f>
        <v>1.5708785790970227E-4</v>
      </c>
      <c r="D5" s="18">
        <f>_xlfn.CHISQ.INV.RT($D$4,A5)</f>
        <v>9.8206911717525812E-4</v>
      </c>
      <c r="E5" s="18">
        <f>_xlfn.CHISQ.INV.RT($E$4,A5)</f>
        <v>3.9321400000195293E-3</v>
      </c>
      <c r="F5" s="18">
        <f>_xlfn.CHISQ.INV.RT($F$4,A5)</f>
        <v>1.5790774093431218E-2</v>
      </c>
      <c r="G5" s="18"/>
      <c r="H5" s="18">
        <f>_xlfn.CHISQ.INV.RT($H$4,A5)</f>
        <v>2.7055434540954142</v>
      </c>
      <c r="I5" s="18">
        <f>_xlfn.CHISQ.INV.RT($I$4,A5)</f>
        <v>3.8414588206941236</v>
      </c>
      <c r="J5" s="18">
        <f>_xlfn.CHISQ.INV.RT($J$4,A5)</f>
        <v>5.0238861873148863</v>
      </c>
      <c r="K5" s="18">
        <f>_xlfn.CHISQ.INV.RT($K$4,A5)</f>
        <v>6.6348966010212118</v>
      </c>
      <c r="L5" s="19">
        <f>_xlfn.CHISQ.INV.RT($L$4,A5)</f>
        <v>7.8794385766224124</v>
      </c>
    </row>
    <row r="6" spans="1:16" x14ac:dyDescent="0.25">
      <c r="A6" s="25">
        <v>2</v>
      </c>
      <c r="B6" s="18">
        <f>_xlfn.CHISQ.INV.RT($B$4,A6)</f>
        <v>1.0025083647088573E-2</v>
      </c>
      <c r="C6" s="18">
        <f>_xlfn.CHISQ.INV.RT($C$4,A6)</f>
        <v>2.0100671707002901E-2</v>
      </c>
      <c r="D6" s="18">
        <f>_xlfn.CHISQ.INV.RT($D$4,A6)</f>
        <v>5.0635615968579795E-2</v>
      </c>
      <c r="E6" s="18">
        <f>_xlfn.CHISQ.INV.RT($E$4,A6)</f>
        <v>0.10258658877510116</v>
      </c>
      <c r="F6" s="18">
        <f>_xlfn.CHISQ.INV.RT($F$4,A6)</f>
        <v>0.21072103131565256</v>
      </c>
      <c r="G6" s="18"/>
      <c r="H6" s="18">
        <f>_xlfn.CHISQ.INV.RT($H$4,A6)</f>
        <v>4.6051701859880909</v>
      </c>
      <c r="I6" s="18">
        <f>_xlfn.CHISQ.INV.RT($I$4,A6)</f>
        <v>5.9914645471079817</v>
      </c>
      <c r="J6" s="18">
        <f>_xlfn.CHISQ.INV.RT($J$4,A6)</f>
        <v>7.3777589082278725</v>
      </c>
      <c r="K6" s="18">
        <f>_xlfn.CHISQ.INV.RT($K$4,A6)</f>
        <v>9.2103403719761818</v>
      </c>
      <c r="L6" s="19">
        <f>_xlfn.CHISQ.INV.RT($L$4,A6)</f>
        <v>10.596634733096073</v>
      </c>
    </row>
    <row r="7" spans="1:16" x14ac:dyDescent="0.25">
      <c r="A7" s="25">
        <v>3</v>
      </c>
      <c r="B7" s="18">
        <f>_xlfn.CHISQ.INV.RT($B$4,A7)</f>
        <v>7.1721774586491635E-2</v>
      </c>
      <c r="C7" s="18">
        <f>_xlfn.CHISQ.INV.RT($C$4,A7)</f>
        <v>0.11483180189911682</v>
      </c>
      <c r="D7" s="18">
        <f>_xlfn.CHISQ.INV.RT($D$4,A7)</f>
        <v>0.2157952826238981</v>
      </c>
      <c r="E7" s="18">
        <f>_xlfn.CHISQ.INV.RT($E$4,A7)</f>
        <v>0.35184631774927172</v>
      </c>
      <c r="F7" s="18">
        <f>_xlfn.CHISQ.INV.RT($F$4,A7)</f>
        <v>0.58437437415518312</v>
      </c>
      <c r="G7" s="18"/>
      <c r="H7" s="18">
        <f>_xlfn.CHISQ.INV.RT($H$4,A7)</f>
        <v>6.2513886311703235</v>
      </c>
      <c r="I7" s="18">
        <f>_xlfn.CHISQ.INV.RT($I$4,A7)</f>
        <v>7.8147279032511792</v>
      </c>
      <c r="J7" s="18">
        <f>_xlfn.CHISQ.INV.RT($J$4,A7)</f>
        <v>9.3484036044961485</v>
      </c>
      <c r="K7" s="18">
        <f>_xlfn.CHISQ.INV.RT($K$4,A7)</f>
        <v>11.344866730144371</v>
      </c>
      <c r="L7" s="19">
        <f>_xlfn.CHISQ.INV.RT($L$4,A7)</f>
        <v>12.838156466598651</v>
      </c>
    </row>
    <row r="8" spans="1:16" x14ac:dyDescent="0.25">
      <c r="A8" s="25">
        <v>4</v>
      </c>
      <c r="B8" s="18">
        <f>_xlfn.CHISQ.INV.RT($B$4,A8)</f>
        <v>0.20698909349618236</v>
      </c>
      <c r="C8" s="18">
        <f>_xlfn.CHISQ.INV.RT($C$4,A8)</f>
        <v>0.29710948050653158</v>
      </c>
      <c r="D8" s="18">
        <f>_xlfn.CHISQ.INV.RT($D$4,A8)</f>
        <v>0.4844185570879303</v>
      </c>
      <c r="E8" s="18">
        <f>_xlfn.CHISQ.INV.RT($E$4,A8)</f>
        <v>0.71072302139732446</v>
      </c>
      <c r="F8" s="18">
        <f>_xlfn.CHISQ.INV.RT($F$4,A8)</f>
        <v>1.0636232167792243</v>
      </c>
      <c r="G8" s="18"/>
      <c r="H8" s="18">
        <f>_xlfn.CHISQ.INV.RT($H$4,A8)</f>
        <v>7.7794403397348582</v>
      </c>
      <c r="I8" s="18">
        <f>_xlfn.CHISQ.INV.RT($I$4,A8)</f>
        <v>9.4877290367811575</v>
      </c>
      <c r="J8" s="18">
        <f>_xlfn.CHISQ.INV.RT($J$4,A8)</f>
        <v>11.143286781877798</v>
      </c>
      <c r="K8" s="18">
        <f>_xlfn.CHISQ.INV.RT($K$4,A8)</f>
        <v>13.276704135987623</v>
      </c>
      <c r="L8" s="19">
        <f>_xlfn.CHISQ.INV.RT($L$4,A8)</f>
        <v>14.860259000560244</v>
      </c>
    </row>
    <row r="9" spans="1:16" x14ac:dyDescent="0.25">
      <c r="A9" s="25">
        <v>5</v>
      </c>
      <c r="B9" s="18">
        <f>_xlfn.CHISQ.INV.RT($B$4,A9)</f>
        <v>0.41174190383249976</v>
      </c>
      <c r="C9" s="18">
        <f>_xlfn.CHISQ.INV.RT($C$4,A9)</f>
        <v>0.55429807672827713</v>
      </c>
      <c r="D9" s="18">
        <f>_xlfn.CHISQ.INV.RT($D$4,A9)</f>
        <v>0.83121161348666384</v>
      </c>
      <c r="E9" s="18">
        <f>_xlfn.CHISQ.INV.RT($E$4,A9)</f>
        <v>1.1454762260617699</v>
      </c>
      <c r="F9" s="18">
        <f>_xlfn.CHISQ.INV.RT($F$4,A9)</f>
        <v>1.6103079869623229</v>
      </c>
      <c r="G9" s="18"/>
      <c r="H9" s="18">
        <f>_xlfn.CHISQ.INV.RT($H$4,A9)</f>
        <v>9.2363568997811178</v>
      </c>
      <c r="I9" s="18">
        <f>_xlfn.CHISQ.INV.RT($I$4,A9)</f>
        <v>11.070497693516353</v>
      </c>
      <c r="J9" s="18">
        <f>_xlfn.CHISQ.INV.RT($J$4,A9)</f>
        <v>12.832501994030029</v>
      </c>
      <c r="K9" s="18">
        <f>_xlfn.CHISQ.INV.RT($K$4,A9)</f>
        <v>15.086272469388991</v>
      </c>
      <c r="L9" s="19">
        <f>_xlfn.CHISQ.INV.RT($L$4,A9)</f>
        <v>16.749602343639044</v>
      </c>
    </row>
    <row r="10" spans="1:16" x14ac:dyDescent="0.25">
      <c r="A10" s="25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</row>
    <row r="11" spans="1:16" x14ac:dyDescent="0.25">
      <c r="A11" s="25">
        <v>6</v>
      </c>
      <c r="B11" s="18">
        <f>_xlfn.CHISQ.INV.RT($B$4,A11)</f>
        <v>0.67572677745546794</v>
      </c>
      <c r="C11" s="18">
        <f>_xlfn.CHISQ.INV.RT($C$4,A11)</f>
        <v>0.87209033015658521</v>
      </c>
      <c r="D11" s="18">
        <f>_xlfn.CHISQ.INV.RT($D$4,A11)</f>
        <v>1.2373442457912045</v>
      </c>
      <c r="E11" s="18">
        <f>_xlfn.CHISQ.INV.RT($E$4,A11)</f>
        <v>1.6353828943279067</v>
      </c>
      <c r="F11" s="18">
        <f>_xlfn.CHISQ.INV.RT($F$4,A11)</f>
        <v>2.2041306564986418</v>
      </c>
      <c r="G11" s="18"/>
      <c r="H11" s="18">
        <f>_xlfn.CHISQ.INV.RT($H$4,A11)</f>
        <v>10.64464067566842</v>
      </c>
      <c r="I11" s="18">
        <f>_xlfn.CHISQ.INV.RT($I$4,A11)</f>
        <v>12.591587243743978</v>
      </c>
      <c r="J11" s="18">
        <f>_xlfn.CHISQ.INV.RT($J$4,A11)</f>
        <v>14.449375335447922</v>
      </c>
      <c r="K11" s="18">
        <f>_xlfn.CHISQ.INV.RT($K$4,A11)</f>
        <v>16.811893829770931</v>
      </c>
      <c r="L11" s="19">
        <f>_xlfn.CHISQ.INV.RT($L$4,A11)</f>
        <v>18.547584178511091</v>
      </c>
    </row>
    <row r="12" spans="1:16" x14ac:dyDescent="0.25">
      <c r="A12" s="25">
        <v>7</v>
      </c>
      <c r="B12" s="18">
        <f>_xlfn.CHISQ.INV.RT($B$4,A12)</f>
        <v>0.98925568313295031</v>
      </c>
      <c r="C12" s="18">
        <f>_xlfn.CHISQ.INV.RT($C$4,A12)</f>
        <v>1.2390423055679303</v>
      </c>
      <c r="D12" s="18">
        <f>_xlfn.CHISQ.INV.RT($D$4,A12)</f>
        <v>1.6898691806773543</v>
      </c>
      <c r="E12" s="18">
        <f>_xlfn.CHISQ.INV.RT($E$4,A12)</f>
        <v>2.167349909298057</v>
      </c>
      <c r="F12" s="18">
        <f>_xlfn.CHISQ.INV.RT($F$4,A12)</f>
        <v>2.8331069178153436</v>
      </c>
      <c r="G12" s="18"/>
      <c r="H12" s="18">
        <f>_xlfn.CHISQ.INV.RT($H$4,A12)</f>
        <v>12.01703662378053</v>
      </c>
      <c r="I12" s="18">
        <f>_xlfn.CHISQ.INV.RT($I$4,A12)</f>
        <v>14.067140449340167</v>
      </c>
      <c r="J12" s="18">
        <f>_xlfn.CHISQ.INV.RT($J$4,A12)</f>
        <v>16.012764274629326</v>
      </c>
      <c r="K12" s="18">
        <f>_xlfn.CHISQ.INV.RT($K$4,A12)</f>
        <v>18.475306906582361</v>
      </c>
      <c r="L12" s="19">
        <f>_xlfn.CHISQ.INV.RT($L$4,A12)</f>
        <v>20.277739874962624</v>
      </c>
    </row>
    <row r="13" spans="1:16" x14ac:dyDescent="0.25">
      <c r="A13" s="25">
        <v>8</v>
      </c>
      <c r="B13" s="18">
        <f>_xlfn.CHISQ.INV.RT($B$4,A13)</f>
        <v>1.3444130870148152</v>
      </c>
      <c r="C13" s="18">
        <f>_xlfn.CHISQ.INV.RT($C$4,A13)</f>
        <v>1.6464973726907688</v>
      </c>
      <c r="D13" s="18">
        <f>_xlfn.CHISQ.INV.RT($D$4,A13)</f>
        <v>2.1797307472526506</v>
      </c>
      <c r="E13" s="18">
        <f>_xlfn.CHISQ.INV.RT($E$4,A13)</f>
        <v>2.7326367934996632</v>
      </c>
      <c r="F13" s="18">
        <f>_xlfn.CHISQ.INV.RT($F$4,A13)</f>
        <v>3.4895391256498209</v>
      </c>
      <c r="G13" s="18"/>
      <c r="H13" s="18">
        <f>_xlfn.CHISQ.INV.RT($H$4,A13)</f>
        <v>13.361566136511726</v>
      </c>
      <c r="I13" s="18">
        <f>_xlfn.CHISQ.INV.RT($I$4,A13)</f>
        <v>15.507313055865453</v>
      </c>
      <c r="J13" s="18">
        <f>_xlfn.CHISQ.INV.RT($J$4,A13)</f>
        <v>17.53454613948465</v>
      </c>
      <c r="K13" s="18">
        <f>_xlfn.CHISQ.INV.RT($K$4,A13)</f>
        <v>20.090235029663233</v>
      </c>
      <c r="L13" s="19">
        <f>_xlfn.CHISQ.INV.RT($L$4,A13)</f>
        <v>21.95495499065953</v>
      </c>
    </row>
    <row r="14" spans="1:16" x14ac:dyDescent="0.25">
      <c r="A14" s="25">
        <v>9</v>
      </c>
      <c r="B14" s="18">
        <f>_xlfn.CHISQ.INV.RT($B$4,A14)</f>
        <v>1.7349329049966573</v>
      </c>
      <c r="C14" s="18">
        <f>_xlfn.CHISQ.INV.RT($C$4,A14)</f>
        <v>2.0879007358707233</v>
      </c>
      <c r="D14" s="18">
        <f>_xlfn.CHISQ.INV.RT($D$4,A14)</f>
        <v>2.7003894999803584</v>
      </c>
      <c r="E14" s="18">
        <f>_xlfn.CHISQ.INV.RT($E$4,A14)</f>
        <v>3.3251128430668162</v>
      </c>
      <c r="F14" s="18">
        <f>_xlfn.CHISQ.INV.RT($F$4,A14)</f>
        <v>4.168159008146108</v>
      </c>
      <c r="G14" s="18"/>
      <c r="H14" s="18">
        <f>_xlfn.CHISQ.INV.RT($H$4,A14)</f>
        <v>14.683656573259835</v>
      </c>
      <c r="I14" s="18">
        <f>_xlfn.CHISQ.INV.RT($I$4,A14)</f>
        <v>16.918977604620451</v>
      </c>
      <c r="J14" s="18">
        <f>_xlfn.CHISQ.INV.RT($J$4,A14)</f>
        <v>19.022767798641635</v>
      </c>
      <c r="K14" s="18">
        <f>_xlfn.CHISQ.INV.RT($K$4,A14)</f>
        <v>21.665994333461931</v>
      </c>
      <c r="L14" s="19">
        <f>_xlfn.CHISQ.INV.RT($L$4,A14)</f>
        <v>23.589350781257387</v>
      </c>
    </row>
    <row r="15" spans="1:16" x14ac:dyDescent="0.25">
      <c r="A15" s="25">
        <v>10</v>
      </c>
      <c r="B15" s="18">
        <f>_xlfn.CHISQ.INV.RT($B$4,A15)</f>
        <v>2.1558564813046455</v>
      </c>
      <c r="C15" s="18">
        <f>_xlfn.CHISQ.INV.RT($C$4,A15)</f>
        <v>2.5582121601872081</v>
      </c>
      <c r="D15" s="18">
        <f>_xlfn.CHISQ.INV.RT($D$4,A15)</f>
        <v>3.2469727802368396</v>
      </c>
      <c r="E15" s="18">
        <f>_xlfn.CHISQ.INV.RT($E$4,A15)</f>
        <v>3.9402991361190622</v>
      </c>
      <c r="F15" s="18">
        <f>_xlfn.CHISQ.INV.RT($F$4,A15)</f>
        <v>4.8651820519253288</v>
      </c>
      <c r="G15" s="18"/>
      <c r="H15" s="18">
        <f>_xlfn.CHISQ.INV.RT($H$4,A15)</f>
        <v>15.987179172105261</v>
      </c>
      <c r="I15" s="18">
        <f>_xlfn.CHISQ.INV.RT($I$4,A15)</f>
        <v>18.307038053275146</v>
      </c>
      <c r="J15" s="18">
        <f>_xlfn.CHISQ.INV.RT($J$4,A15)</f>
        <v>20.483177350807395</v>
      </c>
      <c r="K15" s="18">
        <f>_xlfn.CHISQ.INV.RT($K$4,A15)</f>
        <v>23.209251158954359</v>
      </c>
      <c r="L15" s="19">
        <f>_xlfn.CHISQ.INV.RT($L$4,A15)</f>
        <v>25.188179571971173</v>
      </c>
    </row>
    <row r="16" spans="1:16" x14ac:dyDescent="0.25">
      <c r="A16" s="2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7" x14ac:dyDescent="0.25">
      <c r="A17" s="25">
        <v>11</v>
      </c>
      <c r="B17" s="18">
        <f>_xlfn.CHISQ.INV.RT($B$4,A17)</f>
        <v>2.6032218905151172</v>
      </c>
      <c r="C17" s="18">
        <f>_xlfn.CHISQ.INV.RT($C$4,A17)</f>
        <v>3.0534841066406813</v>
      </c>
      <c r="D17" s="18">
        <f>_xlfn.CHISQ.INV.RT($D$4,A17)</f>
        <v>3.8157482522361006</v>
      </c>
      <c r="E17" s="18">
        <f>_xlfn.CHISQ.INV.RT($E$4,A17)</f>
        <v>4.5748130793222259</v>
      </c>
      <c r="F17" s="18">
        <f>_xlfn.CHISQ.INV.RT($F$4,A17)</f>
        <v>5.5777847897998516</v>
      </c>
      <c r="G17" s="18"/>
      <c r="H17" s="18">
        <f>_xlfn.CHISQ.INV.RT($H$4,A17)</f>
        <v>17.275008517500069</v>
      </c>
      <c r="I17" s="18">
        <f>_xlfn.CHISQ.INV.RT($I$4,A17)</f>
        <v>19.675137572682498</v>
      </c>
      <c r="J17" s="18">
        <f>_xlfn.CHISQ.INV.RT($J$4,A17)</f>
        <v>21.920049261021205</v>
      </c>
      <c r="K17" s="18">
        <f>_xlfn.CHISQ.INV.RT($K$4,A17)</f>
        <v>24.724970311318284</v>
      </c>
      <c r="L17" s="19">
        <f>_xlfn.CHISQ.INV.RT($L$4,A17)</f>
        <v>26.756848916469632</v>
      </c>
    </row>
    <row r="18" spans="1:17" x14ac:dyDescent="0.25">
      <c r="A18" s="25">
        <v>12</v>
      </c>
      <c r="B18" s="18">
        <f>_xlfn.CHISQ.INV.RT($B$4,A18)</f>
        <v>3.0738236380893325</v>
      </c>
      <c r="C18" s="18">
        <f>_xlfn.CHISQ.INV.RT($C$4,A18)</f>
        <v>3.5705689706043899</v>
      </c>
      <c r="D18" s="18">
        <f>_xlfn.CHISQ.INV.RT($D$4,A18)</f>
        <v>4.4037885069817033</v>
      </c>
      <c r="E18" s="18">
        <f>_xlfn.CHISQ.INV.RT($E$4,A18)</f>
        <v>5.2260294883926397</v>
      </c>
      <c r="F18" s="18">
        <f>_xlfn.CHISQ.INV.RT($F$4,A18)</f>
        <v>6.3037960595843234</v>
      </c>
      <c r="G18" s="18"/>
      <c r="H18" s="18">
        <f>_xlfn.CHISQ.INV.RT($H$4,A18)</f>
        <v>18.549347786703244</v>
      </c>
      <c r="I18" s="18">
        <f>_xlfn.CHISQ.INV.RT($I$4,A18)</f>
        <v>21.026069817483066</v>
      </c>
      <c r="J18" s="18">
        <f>_xlfn.CHISQ.INV.RT($J$4,A18)</f>
        <v>23.336664158645338</v>
      </c>
      <c r="K18" s="18">
        <f>_xlfn.CHISQ.INV.RT($K$4,A18)</f>
        <v>26.216967305535849</v>
      </c>
      <c r="L18" s="19">
        <f>_xlfn.CHISQ.INV.RT($L$4,A18)</f>
        <v>28.299518822046032</v>
      </c>
    </row>
    <row r="19" spans="1:17" x14ac:dyDescent="0.25">
      <c r="A19" s="25">
        <v>13</v>
      </c>
      <c r="B19" s="18">
        <f>_xlfn.CHISQ.INV.RT($B$4,A19)</f>
        <v>3.5650345797295349</v>
      </c>
      <c r="C19" s="18">
        <f>_xlfn.CHISQ.INV.RT($C$4,A19)</f>
        <v>4.1069154715044069</v>
      </c>
      <c r="D19" s="18">
        <f>_xlfn.CHISQ.INV.RT($D$4,A19)</f>
        <v>5.0087505118103319</v>
      </c>
      <c r="E19" s="18">
        <f>_xlfn.CHISQ.INV.RT($E$4,A19)</f>
        <v>5.8918643377098476</v>
      </c>
      <c r="F19" s="18">
        <f>_xlfn.CHISQ.INV.RT($F$4,A19)</f>
        <v>7.0415045800954621</v>
      </c>
      <c r="G19" s="18"/>
      <c r="H19" s="18">
        <f>_xlfn.CHISQ.INV.RT($H$4,A19)</f>
        <v>19.81192930712756</v>
      </c>
      <c r="I19" s="18">
        <f>_xlfn.CHISQ.INV.RT($I$4,A19)</f>
        <v>22.362032494826938</v>
      </c>
      <c r="J19" s="18">
        <f>_xlfn.CHISQ.INV.RT($J$4,A19)</f>
        <v>24.73560488493154</v>
      </c>
      <c r="K19" s="18">
        <f>_xlfn.CHISQ.INV.RT($K$4,A19)</f>
        <v>27.688249610457049</v>
      </c>
      <c r="L19" s="19">
        <f>_xlfn.CHISQ.INV.RT($L$4,A19)</f>
        <v>29.819471223653217</v>
      </c>
      <c r="N19" s="16" t="s">
        <v>8</v>
      </c>
      <c r="O19" s="16"/>
    </row>
    <row r="20" spans="1:17" x14ac:dyDescent="0.25">
      <c r="A20" s="25">
        <v>14</v>
      </c>
      <c r="B20" s="18">
        <f>_xlfn.CHISQ.INV.RT($B$4,A20)</f>
        <v>4.0746749573993482</v>
      </c>
      <c r="C20" s="18">
        <f>_xlfn.CHISQ.INV.RT($C$4,A20)</f>
        <v>4.6604250626577679</v>
      </c>
      <c r="D20" s="18">
        <f>_xlfn.CHISQ.INV.RT($D$4,A20)</f>
        <v>5.6287261030397318</v>
      </c>
      <c r="E20" s="18">
        <f>_xlfn.CHISQ.INV.RT($E$4,A20)</f>
        <v>6.5706313837893431</v>
      </c>
      <c r="F20" s="18">
        <f>_xlfn.CHISQ.INV.RT($F$4,A20)</f>
        <v>7.78953360975237</v>
      </c>
      <c r="G20" s="18"/>
      <c r="H20" s="18">
        <f>_xlfn.CHISQ.INV.RT($H$4,A20)</f>
        <v>21.064144212997057</v>
      </c>
      <c r="I20" s="18">
        <f>_xlfn.CHISQ.INV.RT($I$4,A20)</f>
        <v>23.68479130484058</v>
      </c>
      <c r="J20" s="18">
        <f>_xlfn.CHISQ.INV.RT($J$4,A20)</f>
        <v>26.118948045037371</v>
      </c>
      <c r="K20" s="18">
        <f>_xlfn.CHISQ.INV.RT($K$4,A20)</f>
        <v>29.141237740672796</v>
      </c>
      <c r="L20" s="19">
        <f>_xlfn.CHISQ.INV.RT($L$4,A20)</f>
        <v>31.31934962259529</v>
      </c>
      <c r="N20" s="29" t="s">
        <v>28</v>
      </c>
      <c r="O20" s="29"/>
      <c r="Q20" s="15" t="s">
        <v>20</v>
      </c>
    </row>
    <row r="21" spans="1:17" x14ac:dyDescent="0.25">
      <c r="A21" s="25">
        <v>15</v>
      </c>
      <c r="B21" s="18">
        <f>_xlfn.CHISQ.INV.RT($B$4,A21)</f>
        <v>4.600915571727338</v>
      </c>
      <c r="C21" s="18">
        <f>_xlfn.CHISQ.INV.RT($C$4,A21)</f>
        <v>5.2293488840989664</v>
      </c>
      <c r="D21" s="18">
        <f>_xlfn.CHISQ.INV.RT($D$4,A21)</f>
        <v>6.26213779504325</v>
      </c>
      <c r="E21" s="18">
        <f>_xlfn.CHISQ.INV.RT($E$4,A21)</f>
        <v>7.2609439276700334</v>
      </c>
      <c r="F21" s="18">
        <f>_xlfn.CHISQ.INV.RT($F$4,A21)</f>
        <v>8.5467562417045446</v>
      </c>
      <c r="G21" s="18"/>
      <c r="H21" s="18">
        <f>_xlfn.CHISQ.INV.RT($H$4,A21)</f>
        <v>22.307129581578689</v>
      </c>
      <c r="I21" s="18">
        <f>_xlfn.CHISQ.INV.RT($I$4,A21)</f>
        <v>24.99579013972863</v>
      </c>
      <c r="J21" s="18">
        <f>_xlfn.CHISQ.INV.RT($J$4,A21)</f>
        <v>27.488392863442982</v>
      </c>
      <c r="K21" s="18">
        <f>_xlfn.CHISQ.INV.RT($K$4,A21)</f>
        <v>30.577914166892494</v>
      </c>
      <c r="L21" s="19">
        <f>_xlfn.CHISQ.INV.RT($L$4,A21)</f>
        <v>32.80132064579184</v>
      </c>
      <c r="N21" s="29" t="s">
        <v>29</v>
      </c>
      <c r="O21" s="29"/>
      <c r="Q21" s="15" t="s">
        <v>21</v>
      </c>
    </row>
    <row r="22" spans="1:17" x14ac:dyDescent="0.25">
      <c r="A22" s="2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/>
      <c r="N22" s="29" t="s">
        <v>30</v>
      </c>
      <c r="O22" s="29"/>
      <c r="Q22" s="15" t="s">
        <v>22</v>
      </c>
    </row>
    <row r="23" spans="1:17" x14ac:dyDescent="0.25">
      <c r="A23" s="25">
        <v>16</v>
      </c>
      <c r="B23" s="18">
        <f>_xlfn.CHISQ.INV.RT($B$4,A23)</f>
        <v>5.1422054430436823</v>
      </c>
      <c r="C23" s="18">
        <f>_xlfn.CHISQ.INV.RT($C$4,A23)</f>
        <v>5.8122124701349733</v>
      </c>
      <c r="D23" s="18">
        <f>_xlfn.CHISQ.INV.RT($D$4,A23)</f>
        <v>6.9076643534970019</v>
      </c>
      <c r="E23" s="18">
        <f>_xlfn.CHISQ.INV.RT($E$4,A23)</f>
        <v>7.9616455723785533</v>
      </c>
      <c r="F23" s="18">
        <f>_xlfn.CHISQ.INV.RT($F$4,A23)</f>
        <v>9.3122363537960045</v>
      </c>
      <c r="G23" s="18"/>
      <c r="H23" s="18">
        <f>_xlfn.CHISQ.INV.RT($H$4,A23)</f>
        <v>23.541828923096112</v>
      </c>
      <c r="I23" s="18">
        <f>_xlfn.CHISQ.INV.RT($I$4,A23)</f>
        <v>26.296227604864239</v>
      </c>
      <c r="J23" s="18">
        <f>_xlfn.CHISQ.INV.RT($J$4,A23)</f>
        <v>28.84535072340476</v>
      </c>
      <c r="K23" s="18">
        <f>_xlfn.CHISQ.INV.RT($K$4,A23)</f>
        <v>31.999926908815183</v>
      </c>
      <c r="L23" s="19">
        <f>_xlfn.CHISQ.INV.RT($L$4,A23)</f>
        <v>34.267186537826703</v>
      </c>
      <c r="N23" s="29" t="s">
        <v>29</v>
      </c>
      <c r="O23" s="29"/>
      <c r="Q23" s="15" t="s">
        <v>23</v>
      </c>
    </row>
    <row r="24" spans="1:17" x14ac:dyDescent="0.25">
      <c r="A24" s="25">
        <v>17</v>
      </c>
      <c r="B24" s="18">
        <f>_xlfn.CHISQ.INV.RT($B$4,A24)</f>
        <v>5.6972171014978219</v>
      </c>
      <c r="C24" s="18">
        <f>_xlfn.CHISQ.INV.RT($C$4,A24)</f>
        <v>6.4077597777389341</v>
      </c>
      <c r="D24" s="18">
        <f>_xlfn.CHISQ.INV.RT($D$4,A24)</f>
        <v>7.5641864495775692</v>
      </c>
      <c r="E24" s="18">
        <f>_xlfn.CHISQ.INV.RT($E$4,A24)</f>
        <v>8.671760204670079</v>
      </c>
      <c r="F24" s="18">
        <f>_xlfn.CHISQ.INV.RT($F$4,A24)</f>
        <v>10.085186334619332</v>
      </c>
      <c r="G24" s="18"/>
      <c r="H24" s="18">
        <f>_xlfn.CHISQ.INV.RT($H$4,A24)</f>
        <v>24.76903534390145</v>
      </c>
      <c r="I24" s="18">
        <f>_xlfn.CHISQ.INV.RT($I$4,A24)</f>
        <v>27.587111638275324</v>
      </c>
      <c r="J24" s="18">
        <f>_xlfn.CHISQ.INV.RT($J$4,A24)</f>
        <v>30.191009121639812</v>
      </c>
      <c r="K24" s="18">
        <f>_xlfn.CHISQ.INV.RT($K$4,A24)</f>
        <v>33.408663605004612</v>
      </c>
      <c r="L24" s="19">
        <f>_xlfn.CHISQ.INV.RT($L$4,A24)</f>
        <v>35.7184656590046</v>
      </c>
    </row>
    <row r="25" spans="1:17" x14ac:dyDescent="0.25">
      <c r="A25" s="25">
        <v>18</v>
      </c>
      <c r="B25" s="18">
        <f>_xlfn.CHISQ.INV.RT($B$4,A25)</f>
        <v>6.2648046845064762</v>
      </c>
      <c r="C25" s="18">
        <f>_xlfn.CHISQ.INV.RT($C$4,A25)</f>
        <v>7.0149109011725761</v>
      </c>
      <c r="D25" s="18">
        <f>_xlfn.CHISQ.INV.RT($D$4,A25)</f>
        <v>8.2307461947566694</v>
      </c>
      <c r="E25" s="18">
        <f>_xlfn.CHISQ.INV.RT($E$4,A25)</f>
        <v>9.3904550806889837</v>
      </c>
      <c r="F25" s="18">
        <f>_xlfn.CHISQ.INV.RT($F$4,A25)</f>
        <v>10.864936116508861</v>
      </c>
      <c r="G25" s="18"/>
      <c r="H25" s="18">
        <f>_xlfn.CHISQ.INV.RT($H$4,A25)</f>
        <v>25.989423082637209</v>
      </c>
      <c r="I25" s="18">
        <f>_xlfn.CHISQ.INV.RT($I$4,A25)</f>
        <v>28.869299430392633</v>
      </c>
      <c r="J25" s="18">
        <f>_xlfn.CHISQ.INV.RT($J$4,A25)</f>
        <v>31.52637844038663</v>
      </c>
      <c r="K25" s="18">
        <f>_xlfn.CHISQ.INV.RT($K$4,A25)</f>
        <v>34.805305734705072</v>
      </c>
      <c r="L25" s="19">
        <f>_xlfn.CHISQ.INV.RT($L$4,A25)</f>
        <v>37.156451456606746</v>
      </c>
      <c r="N25" s="27" t="s">
        <v>26</v>
      </c>
      <c r="O25" s="29"/>
      <c r="P25" s="28"/>
    </row>
    <row r="26" spans="1:17" x14ac:dyDescent="0.25">
      <c r="A26" s="25">
        <v>19</v>
      </c>
      <c r="B26" s="18">
        <f>_xlfn.CHISQ.INV.RT($B$4,A26)</f>
        <v>6.8439714454829561</v>
      </c>
      <c r="C26" s="18">
        <f>_xlfn.CHISQ.INV.RT($C$4,A26)</f>
        <v>7.6327296475714759</v>
      </c>
      <c r="D26" s="18">
        <f>_xlfn.CHISQ.INV.RT($D$4,A26)</f>
        <v>8.9065164819879747</v>
      </c>
      <c r="E26" s="18">
        <f>_xlfn.CHISQ.INV.RT($E$4,A26)</f>
        <v>10.117013063859044</v>
      </c>
      <c r="F26" s="18">
        <f>_xlfn.CHISQ.INV.RT($F$4,A26)</f>
        <v>11.650910032126951</v>
      </c>
      <c r="G26" s="18"/>
      <c r="H26" s="18">
        <f>_xlfn.CHISQ.INV.RT($H$4,A26)</f>
        <v>27.203571029356826</v>
      </c>
      <c r="I26" s="18">
        <f>_xlfn.CHISQ.INV.RT($I$4,A26)</f>
        <v>30.143527205646155</v>
      </c>
      <c r="J26" s="18">
        <f>_xlfn.CHISQ.INV.RT($J$4,A26)</f>
        <v>32.852326861729708</v>
      </c>
      <c r="K26" s="18">
        <f>_xlfn.CHISQ.INV.RT($K$4,A26)</f>
        <v>36.190869129270048</v>
      </c>
      <c r="L26" s="19">
        <f>_xlfn.CHISQ.INV.RT($L$4,A26)</f>
        <v>38.58225655493424</v>
      </c>
      <c r="N26" s="29" t="s">
        <v>25</v>
      </c>
      <c r="O26" s="15" t="s">
        <v>35</v>
      </c>
    </row>
    <row r="27" spans="1:17" x14ac:dyDescent="0.25">
      <c r="A27" s="25">
        <v>20</v>
      </c>
      <c r="B27" s="18">
        <f>_xlfn.CHISQ.INV.RT($B$4,A27)</f>
        <v>7.4338442629342358</v>
      </c>
      <c r="C27" s="18">
        <f>_xlfn.CHISQ.INV.RT($C$4,A27)</f>
        <v>8.2603983325464014</v>
      </c>
      <c r="D27" s="18">
        <f>_xlfn.CHISQ.INV.RT($D$4,A27)</f>
        <v>9.5907773922648669</v>
      </c>
      <c r="E27" s="18">
        <f>_xlfn.CHISQ.INV.RT($E$4,A27)</f>
        <v>10.850811394182585</v>
      </c>
      <c r="F27" s="18">
        <f>_xlfn.CHISQ.INV.RT($F$4,A27)</f>
        <v>12.442609210450065</v>
      </c>
      <c r="G27" s="18"/>
      <c r="H27" s="18">
        <f>_xlfn.CHISQ.INV.RT($H$4,A27)</f>
        <v>28.411980584305635</v>
      </c>
      <c r="I27" s="18">
        <f>_xlfn.CHISQ.INV.RT($I$4,A27)</f>
        <v>31.410432844230925</v>
      </c>
      <c r="J27" s="18">
        <f>_xlfn.CHISQ.INV.RT($J$4,A27)</f>
        <v>34.169606902838339</v>
      </c>
      <c r="K27" s="18">
        <f>_xlfn.CHISQ.INV.RT($K$4,A27)</f>
        <v>37.566234786625053</v>
      </c>
      <c r="L27" s="19">
        <f>_xlfn.CHISQ.INV.RT($L$4,A27)</f>
        <v>39.996846312938644</v>
      </c>
      <c r="N27" s="29"/>
      <c r="O27" s="29"/>
      <c r="P27" s="28"/>
    </row>
    <row r="28" spans="1:17" x14ac:dyDescent="0.25">
      <c r="A28" s="2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7" t="s">
        <v>11</v>
      </c>
      <c r="O28" s="27"/>
    </row>
    <row r="29" spans="1:17" x14ac:dyDescent="0.25">
      <c r="A29" s="25">
        <v>21</v>
      </c>
      <c r="B29" s="18">
        <f>_xlfn.CHISQ.INV.RT($B$4,A29)</f>
        <v>8.033653420232735</v>
      </c>
      <c r="C29" s="18">
        <f>_xlfn.CHISQ.INV.RT($C$4,A29)</f>
        <v>8.89719794207722</v>
      </c>
      <c r="D29" s="18">
        <f>_xlfn.CHISQ.INV.RT($D$4,A29)</f>
        <v>10.282897782522859</v>
      </c>
      <c r="E29" s="18">
        <f>_xlfn.CHISQ.INV.RT($E$4,A29)</f>
        <v>11.591305208820739</v>
      </c>
      <c r="F29" s="18">
        <f>_xlfn.CHISQ.INV.RT($F$4,A29)</f>
        <v>13.239597975395306</v>
      </c>
      <c r="G29" s="18"/>
      <c r="H29" s="18">
        <f>_xlfn.CHISQ.INV.RT($H$4,A29)</f>
        <v>29.615089436182725</v>
      </c>
      <c r="I29" s="18">
        <f>_xlfn.CHISQ.INV.RT($I$4,A29)</f>
        <v>32.670573340917308</v>
      </c>
      <c r="J29" s="18">
        <f>_xlfn.CHISQ.INV.RT($J$4,A29)</f>
        <v>35.478875905727257</v>
      </c>
      <c r="K29" s="18">
        <f>_xlfn.CHISQ.INV.RT($K$4,A29)</f>
        <v>38.932172683516065</v>
      </c>
      <c r="L29" s="19">
        <f>_xlfn.CHISQ.INV.RT($L$4,A29)</f>
        <v>41.401064771417609</v>
      </c>
      <c r="N29" s="29" t="s">
        <v>24</v>
      </c>
      <c r="O29" s="29"/>
      <c r="P29" s="28" t="s">
        <v>27</v>
      </c>
    </row>
    <row r="30" spans="1:17" x14ac:dyDescent="0.25">
      <c r="A30" s="25">
        <v>22</v>
      </c>
      <c r="B30" s="18">
        <f>_xlfn.CHISQ.INV.RT($B$4,A30)</f>
        <v>8.6427164006664015</v>
      </c>
      <c r="C30" s="18">
        <f>_xlfn.CHISQ.INV.RT($C$4,A30)</f>
        <v>9.5424923387850811</v>
      </c>
      <c r="D30" s="18">
        <f>_xlfn.CHISQ.INV.RT($D$4,A30)</f>
        <v>10.982320734473676</v>
      </c>
      <c r="E30" s="18">
        <f>_xlfn.CHISQ.INV.RT($E$4,A30)</f>
        <v>12.338014578790647</v>
      </c>
      <c r="F30" s="18">
        <f>_xlfn.CHISQ.INV.RT($F$4,A30)</f>
        <v>14.041493189421969</v>
      </c>
      <c r="G30" s="18"/>
      <c r="H30" s="18">
        <f>_xlfn.CHISQ.INV.RT($H$4,A30)</f>
        <v>30.813282343953034</v>
      </c>
      <c r="I30" s="18">
        <f>_xlfn.CHISQ.INV.RT($I$4,A30)</f>
        <v>33.9244384714438</v>
      </c>
      <c r="J30" s="18">
        <f>_xlfn.CHISQ.INV.RT($J$4,A30)</f>
        <v>36.780712084035557</v>
      </c>
      <c r="K30" s="18">
        <f>_xlfn.CHISQ.INV.RT($K$4,A30)</f>
        <v>40.289360437593864</v>
      </c>
      <c r="L30" s="19">
        <f>_xlfn.CHISQ.INV.RT($L$4,A30)</f>
        <v>42.795654999308539</v>
      </c>
    </row>
    <row r="31" spans="1:17" x14ac:dyDescent="0.25">
      <c r="A31" s="25">
        <v>23</v>
      </c>
      <c r="B31" s="18">
        <f>_xlfn.CHISQ.INV.RT($B$4,A31)</f>
        <v>9.2604247758087546</v>
      </c>
      <c r="C31" s="18">
        <f>_xlfn.CHISQ.INV.RT($C$4,A31)</f>
        <v>10.195715555745821</v>
      </c>
      <c r="D31" s="18">
        <f>_xlfn.CHISQ.INV.RT($D$4,A31)</f>
        <v>11.688551922452435</v>
      </c>
      <c r="E31" s="18">
        <f>_xlfn.CHISQ.INV.RT($E$4,A31)</f>
        <v>13.090514188172801</v>
      </c>
      <c r="F31" s="18">
        <f>_xlfn.CHISQ.INV.RT($F$4,A31)</f>
        <v>14.847955799267668</v>
      </c>
      <c r="G31" s="18"/>
      <c r="H31" s="18">
        <f>_xlfn.CHISQ.INV.RT($H$4,A31)</f>
        <v>32.006899681704304</v>
      </c>
      <c r="I31" s="18">
        <f>_xlfn.CHISQ.INV.RT($I$4,A31)</f>
        <v>35.172461626908053</v>
      </c>
      <c r="J31" s="18">
        <f>_xlfn.CHISQ.INV.RT($J$4,A31)</f>
        <v>38.075627250355801</v>
      </c>
      <c r="K31" s="18">
        <f>_xlfn.CHISQ.INV.RT($K$4,A31)</f>
        <v>41.638398118858476</v>
      </c>
      <c r="L31" s="19">
        <f>_xlfn.CHISQ.INV.RT($L$4,A31)</f>
        <v>44.181275249971101</v>
      </c>
    </row>
    <row r="32" spans="1:17" x14ac:dyDescent="0.25">
      <c r="A32" s="25">
        <v>24</v>
      </c>
      <c r="B32" s="18">
        <f>_xlfn.CHISQ.INV.RT($B$4,A32)</f>
        <v>9.8862335022414651</v>
      </c>
      <c r="C32" s="18">
        <f>_xlfn.CHISQ.INV.RT($C$4,A32)</f>
        <v>10.856361475532282</v>
      </c>
      <c r="D32" s="18">
        <f>_xlfn.CHISQ.INV.RT($D$4,A32)</f>
        <v>12.401150217444435</v>
      </c>
      <c r="E32" s="18">
        <f>_xlfn.CHISQ.INV.RT($E$4,A32)</f>
        <v>13.848425027170213</v>
      </c>
      <c r="F32" s="18">
        <f>_xlfn.CHISQ.INV.RT($F$4,A32)</f>
        <v>15.658684052512825</v>
      </c>
      <c r="G32" s="18"/>
      <c r="H32" s="18">
        <f>_xlfn.CHISQ.INV.RT($H$4,A32)</f>
        <v>33.196244288628179</v>
      </c>
      <c r="I32" s="18">
        <f>_xlfn.CHISQ.INV.RT($I$4,A32)</f>
        <v>36.415028501807313</v>
      </c>
      <c r="J32" s="18">
        <f>_xlfn.CHISQ.INV.RT($J$4,A32)</f>
        <v>39.364077026603915</v>
      </c>
      <c r="K32" s="18">
        <f>_xlfn.CHISQ.INV.RT($K$4,A32)</f>
        <v>42.979820139351638</v>
      </c>
      <c r="L32" s="19">
        <f>_xlfn.CHISQ.INV.RT($L$4,A32)</f>
        <v>45.558511936530586</v>
      </c>
      <c r="N32" s="16" t="s">
        <v>31</v>
      </c>
      <c r="O32" s="16"/>
    </row>
    <row r="33" spans="1:17" x14ac:dyDescent="0.25">
      <c r="A33" s="25">
        <v>25</v>
      </c>
      <c r="B33" s="18">
        <f>_xlfn.CHISQ.INV.RT($B$4,A33)</f>
        <v>10.519652112024698</v>
      </c>
      <c r="C33" s="18">
        <f>_xlfn.CHISQ.INV.RT($C$4,A33)</f>
        <v>11.52397537224933</v>
      </c>
      <c r="D33" s="18">
        <f>_xlfn.CHISQ.INV.RT($D$4,A33)</f>
        <v>13.119720024937791</v>
      </c>
      <c r="E33" s="18">
        <f>_xlfn.CHISQ.INV.RT($E$4,A33)</f>
        <v>14.611407639483309</v>
      </c>
      <c r="F33" s="18">
        <f>_xlfn.CHISQ.INV.RT($F$4,A33)</f>
        <v>16.47340799867338</v>
      </c>
      <c r="G33" s="18"/>
      <c r="H33" s="18">
        <f>_xlfn.CHISQ.INV.RT($H$4,A33)</f>
        <v>34.381587017552953</v>
      </c>
      <c r="I33" s="18">
        <f>_xlfn.CHISQ.INV.RT($I$4,A33)</f>
        <v>37.65248413348278</v>
      </c>
      <c r="J33" s="18">
        <f>_xlfn.CHISQ.INV.RT($J$4,A33)</f>
        <v>40.646469120275199</v>
      </c>
      <c r="K33" s="18">
        <f>_xlfn.CHISQ.INV.RT($K$4,A33)</f>
        <v>44.314104896219156</v>
      </c>
      <c r="L33" s="19">
        <f>_xlfn.CHISQ.INV.RT($L$4,A33)</f>
        <v>46.92789016008075</v>
      </c>
      <c r="N33" s="35" t="s">
        <v>13</v>
      </c>
      <c r="O33" s="35"/>
      <c r="P33" s="35"/>
      <c r="Q33" s="30">
        <v>20</v>
      </c>
    </row>
    <row r="34" spans="1:17" x14ac:dyDescent="0.25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N34" s="35" t="s">
        <v>33</v>
      </c>
      <c r="O34" s="35"/>
      <c r="P34" s="35"/>
      <c r="Q34" s="31">
        <v>0.1</v>
      </c>
    </row>
    <row r="35" spans="1:17" x14ac:dyDescent="0.25">
      <c r="A35" s="25">
        <v>26</v>
      </c>
      <c r="B35" s="18">
        <f>_xlfn.CHISQ.INV.RT($B$4,A35)</f>
        <v>11.160237406164143</v>
      </c>
      <c r="C35" s="18">
        <f>_xlfn.CHISQ.INV.RT($C$4,A35)</f>
        <v>12.198146923505595</v>
      </c>
      <c r="D35" s="18">
        <f>_xlfn.CHISQ.INV.RT($D$4,A35)</f>
        <v>13.843904982007606</v>
      </c>
      <c r="E35" s="18">
        <f>_xlfn.CHISQ.INV.RT($E$4,A35)</f>
        <v>15.379156583261738</v>
      </c>
      <c r="F35" s="18">
        <f>_xlfn.CHISQ.INV.RT($F$4,A35)</f>
        <v>17.291884989738758</v>
      </c>
      <c r="G35" s="18"/>
      <c r="H35" s="18">
        <f>_xlfn.CHISQ.INV.RT($H$4,A35)</f>
        <v>35.563171271923459</v>
      </c>
      <c r="I35" s="18">
        <f>_xlfn.CHISQ.INV.RT($I$4,A35)</f>
        <v>38.885138659830041</v>
      </c>
      <c r="J35" s="18">
        <f>_xlfn.CHISQ.INV.RT($J$4,A35)</f>
        <v>41.923170096353914</v>
      </c>
      <c r="K35" s="18">
        <f>_xlfn.CHISQ.INV.RT($K$4,A35)</f>
        <v>45.641682666283153</v>
      </c>
      <c r="L35" s="19">
        <f>_xlfn.CHISQ.INV.RT($L$4,A35)</f>
        <v>48.289882332456834</v>
      </c>
      <c r="N35" s="55" t="s">
        <v>32</v>
      </c>
      <c r="O35" s="56"/>
      <c r="P35" s="57"/>
      <c r="Q35" s="36">
        <f>IF(OR(Q33="",Q33=0,Q34="",Q34=0,Q34&gt;1),"Error",_xlfn.CHISQ.INV.RT(Q34,Q33))</f>
        <v>28.411980584305635</v>
      </c>
    </row>
    <row r="36" spans="1:17" x14ac:dyDescent="0.25">
      <c r="A36" s="25">
        <v>27</v>
      </c>
      <c r="B36" s="18">
        <f>_xlfn.CHISQ.INV.RT($B$4,A36)</f>
        <v>11.807587351366138</v>
      </c>
      <c r="C36" s="18">
        <f>_xlfn.CHISQ.INV.RT($C$4,A36)</f>
        <v>12.878504393144546</v>
      </c>
      <c r="D36" s="18">
        <f>_xlfn.CHISQ.INV.RT($D$4,A36)</f>
        <v>14.573382730821709</v>
      </c>
      <c r="E36" s="18">
        <f>_xlfn.CHISQ.INV.RT($E$4,A36)</f>
        <v>16.151395849664109</v>
      </c>
      <c r="F36" s="18">
        <f>_xlfn.CHISQ.INV.RT($F$4,A36)</f>
        <v>18.113895966895981</v>
      </c>
      <c r="G36" s="18"/>
      <c r="H36" s="18">
        <f>_xlfn.CHISQ.INV.RT($H$4,A36)</f>
        <v>36.741216747797637</v>
      </c>
      <c r="I36" s="18">
        <f>_xlfn.CHISQ.INV.RT($I$4,A36)</f>
        <v>40.113272069413625</v>
      </c>
      <c r="J36" s="18">
        <f>_xlfn.CHISQ.INV.RT($J$4,A36)</f>
        <v>43.194510966156031</v>
      </c>
      <c r="K36" s="18">
        <f>_xlfn.CHISQ.INV.RT($K$4,A36)</f>
        <v>46.962942124751443</v>
      </c>
      <c r="L36" s="19">
        <f>_xlfn.CHISQ.INV.RT($L$4,A36)</f>
        <v>49.644915298994228</v>
      </c>
    </row>
    <row r="37" spans="1:17" x14ac:dyDescent="0.25">
      <c r="A37" s="25">
        <v>28</v>
      </c>
      <c r="B37" s="18">
        <f>_xlfn.CHISQ.INV.RT($B$4,A37)</f>
        <v>12.46133594800256</v>
      </c>
      <c r="C37" s="18">
        <f>_xlfn.CHISQ.INV.RT($C$4,A37)</f>
        <v>13.564709754618823</v>
      </c>
      <c r="D37" s="18">
        <f>_xlfn.CHISQ.INV.RT($D$4,A37)</f>
        <v>15.307860552601202</v>
      </c>
      <c r="E37" s="18">
        <f>_xlfn.CHISQ.INV.RT($E$4,A37)</f>
        <v>16.927875044422496</v>
      </c>
      <c r="F37" s="18">
        <f>_xlfn.CHISQ.INV.RT($F$4,A37)</f>
        <v>18.939242371917501</v>
      </c>
      <c r="G37" s="18"/>
      <c r="H37" s="18">
        <f>_xlfn.CHISQ.INV.RT($H$4,A37)</f>
        <v>37.915922544697068</v>
      </c>
      <c r="I37" s="18">
        <f>_xlfn.CHISQ.INV.RT($I$4,A37)</f>
        <v>41.337138151427396</v>
      </c>
      <c r="J37" s="18">
        <f>_xlfn.CHISQ.INV.RT($J$4,A37)</f>
        <v>44.460791836317753</v>
      </c>
      <c r="K37" s="18">
        <f>_xlfn.CHISQ.INV.RT($K$4,A37)</f>
        <v>48.27823577031549</v>
      </c>
      <c r="L37" s="19">
        <f>_xlfn.CHISQ.INV.RT($L$4,A37)</f>
        <v>50.993376268499453</v>
      </c>
    </row>
    <row r="38" spans="1:17" x14ac:dyDescent="0.25">
      <c r="A38" s="25">
        <v>29</v>
      </c>
      <c r="B38" s="18">
        <f>_xlfn.CHISQ.INV.RT($B$4,A38)</f>
        <v>13.121148887960382</v>
      </c>
      <c r="C38" s="18">
        <f>_xlfn.CHISQ.INV.RT($C$4,A38)</f>
        <v>14.256454576274677</v>
      </c>
      <c r="D38" s="18">
        <f>_xlfn.CHISQ.INV.RT($D$4,A38)</f>
        <v>16.047071695364892</v>
      </c>
      <c r="E38" s="18">
        <f>_xlfn.CHISQ.INV.RT($E$4,A38)</f>
        <v>17.708366182824584</v>
      </c>
      <c r="F38" s="18">
        <f>_xlfn.CHISQ.INV.RT($F$4,A38)</f>
        <v>19.767743559474834</v>
      </c>
      <c r="G38" s="18"/>
      <c r="H38" s="18">
        <f>_xlfn.CHISQ.INV.RT($H$4,A38)</f>
        <v>39.087469770693957</v>
      </c>
      <c r="I38" s="18">
        <f>_xlfn.CHISQ.INV.RT($I$4,A38)</f>
        <v>42.556967804292682</v>
      </c>
      <c r="J38" s="18">
        <f>_xlfn.CHISQ.INV.RT($J$4,A38)</f>
        <v>45.722285804174533</v>
      </c>
      <c r="K38" s="18">
        <f>_xlfn.CHISQ.INV.RT($K$4,A38)</f>
        <v>49.587884472898835</v>
      </c>
      <c r="L38" s="19">
        <f>_xlfn.CHISQ.INV.RT($L$4,A38)</f>
        <v>52.335617785933614</v>
      </c>
    </row>
    <row r="39" spans="1:17" x14ac:dyDescent="0.25">
      <c r="A39" s="25">
        <v>30</v>
      </c>
      <c r="B39" s="18">
        <f>_xlfn.CHISQ.INV.RT($B$4,A39)</f>
        <v>13.786719859502711</v>
      </c>
      <c r="C39" s="18">
        <f>_xlfn.CHISQ.INV.RT($C$4,A39)</f>
        <v>14.953456528455439</v>
      </c>
      <c r="D39" s="18">
        <f>_xlfn.CHISQ.INV.RT($D$4,A39)</f>
        <v>16.790772265566623</v>
      </c>
      <c r="E39" s="18">
        <f>_xlfn.CHISQ.INV.RT($E$4,A39)</f>
        <v>18.492660981953474</v>
      </c>
      <c r="F39" s="18">
        <f>_xlfn.CHISQ.INV.RT($F$4,A39)</f>
        <v>20.599234614585342</v>
      </c>
      <c r="G39" s="18"/>
      <c r="H39" s="18">
        <f>_xlfn.CHISQ.INV.RT($H$4,A39)</f>
        <v>40.256023738711804</v>
      </c>
      <c r="I39" s="18">
        <f>_xlfn.CHISQ.INV.RT($I$4,A39)</f>
        <v>43.772971825742189</v>
      </c>
      <c r="J39" s="18">
        <f>_xlfn.CHISQ.INV.RT($J$4,A39)</f>
        <v>46.979242243671159</v>
      </c>
      <c r="K39" s="18">
        <f>_xlfn.CHISQ.INV.RT($K$4,A39)</f>
        <v>50.892181311517092</v>
      </c>
      <c r="L39" s="19">
        <f>_xlfn.CHISQ.INV.RT($L$4,A39)</f>
        <v>53.671961930240592</v>
      </c>
    </row>
    <row r="40" spans="1:17" x14ac:dyDescent="0.25">
      <c r="A40" s="2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/>
    </row>
    <row r="41" spans="1:17" x14ac:dyDescent="0.25">
      <c r="A41" s="25">
        <v>31</v>
      </c>
      <c r="B41" s="18">
        <f>_xlfn.CHISQ.INV.RT($B$4,A41)</f>
        <v>14.457767385668999</v>
      </c>
      <c r="C41" s="18">
        <f>_xlfn.CHISQ.INV.RT($C$4,A41)</f>
        <v>15.655456401681386</v>
      </c>
      <c r="D41" s="18">
        <f>_xlfn.CHISQ.INV.RT($D$4,A41)</f>
        <v>17.538738581475492</v>
      </c>
      <c r="E41" s="18">
        <f>_xlfn.CHISQ.INV.RT($E$4,A41)</f>
        <v>19.280568559129293</v>
      </c>
      <c r="F41" s="18">
        <f>_xlfn.CHISQ.INV.RT($F$4,A41)</f>
        <v>21.433564500310776</v>
      </c>
      <c r="G41" s="18"/>
      <c r="H41" s="18">
        <f>_xlfn.CHISQ.INV.RT($H$4,A41)</f>
        <v>41.42173582978522</v>
      </c>
      <c r="I41" s="18">
        <f>_xlfn.CHISQ.INV.RT($I$4,A41)</f>
        <v>44.985343280365143</v>
      </c>
      <c r="J41" s="18">
        <f>_xlfn.CHISQ.INV.RT($J$4,A41)</f>
        <v>48.231889594451957</v>
      </c>
      <c r="K41" s="18">
        <f>_xlfn.CHISQ.INV.RT($K$4,A41)</f>
        <v>52.191394833191929</v>
      </c>
      <c r="L41" s="19">
        <f>_xlfn.CHISQ.INV.RT($L$4,A41)</f>
        <v>55.002703880023894</v>
      </c>
    </row>
    <row r="42" spans="1:17" x14ac:dyDescent="0.25">
      <c r="A42" s="25">
        <v>32</v>
      </c>
      <c r="B42" s="18">
        <f>_xlfn.CHISQ.INV.RT($B$4,A42)</f>
        <v>15.134032105415708</v>
      </c>
      <c r="C42" s="18">
        <f>_xlfn.CHISQ.INV.RT($C$4,A42)</f>
        <v>16.362215547665794</v>
      </c>
      <c r="D42" s="18">
        <f>_xlfn.CHISQ.INV.RT($D$4,A42)</f>
        <v>18.290764907283055</v>
      </c>
      <c r="E42" s="18">
        <f>_xlfn.CHISQ.INV.RT($E$4,A42)</f>
        <v>20.071913464548285</v>
      </c>
      <c r="F42" s="18">
        <f>_xlfn.CHISQ.INV.RT($F$4,A42)</f>
        <v>22.270594476644238</v>
      </c>
      <c r="G42" s="18"/>
      <c r="H42" s="18">
        <f>_xlfn.CHISQ.INV.RT($H$4,A42)</f>
        <v>42.584745082980838</v>
      </c>
      <c r="I42" s="18">
        <f>_xlfn.CHISQ.INV.RT($I$4,A42)</f>
        <v>46.194259520278472</v>
      </c>
      <c r="J42" s="18">
        <f>_xlfn.CHISQ.INV.RT($J$4,A42)</f>
        <v>49.480437742971688</v>
      </c>
      <c r="K42" s="18">
        <f>_xlfn.CHISQ.INV.RT($K$4,A42)</f>
        <v>53.485771836235365</v>
      </c>
      <c r="L42" s="19">
        <f>_xlfn.CHISQ.INV.RT($L$4,A42)</f>
        <v>56.328114959710902</v>
      </c>
    </row>
    <row r="43" spans="1:17" x14ac:dyDescent="0.25">
      <c r="A43" s="25">
        <v>33</v>
      </c>
      <c r="B43" s="18">
        <f>_xlfn.CHISQ.INV.RT($B$4,A43)</f>
        <v>15.815274424327857</v>
      </c>
      <c r="C43" s="18">
        <f>_xlfn.CHISQ.INV.RT($C$4,A43)</f>
        <v>17.073513672329383</v>
      </c>
      <c r="D43" s="18">
        <f>_xlfn.CHISQ.INV.RT($D$4,A43)</f>
        <v>19.046661503175116</v>
      </c>
      <c r="E43" s="18">
        <f>_xlfn.CHISQ.INV.RT($E$4,A43)</f>
        <v>20.866533990714789</v>
      </c>
      <c r="F43" s="18">
        <f>_xlfn.CHISQ.INV.RT($F$4,A43)</f>
        <v>23.110196743607261</v>
      </c>
      <c r="G43" s="18"/>
      <c r="H43" s="18">
        <f>_xlfn.CHISQ.INV.RT($H$4,A43)</f>
        <v>43.745179559434185</v>
      </c>
      <c r="I43" s="18">
        <f>_xlfn.CHISQ.INV.RT($I$4,A43)</f>
        <v>47.399883919080914</v>
      </c>
      <c r="J43" s="18">
        <f>_xlfn.CHISQ.INV.RT($J$4,A43)</f>
        <v>50.725080066281237</v>
      </c>
      <c r="K43" s="18">
        <f>_xlfn.CHISQ.INV.RT($K$4,A43)</f>
        <v>54.775539760110341</v>
      </c>
      <c r="L43" s="19">
        <f>_xlfn.CHISQ.INV.RT($L$4,A43)</f>
        <v>57.648445255858547</v>
      </c>
    </row>
    <row r="44" spans="1:17" x14ac:dyDescent="0.25">
      <c r="A44" s="25">
        <v>34</v>
      </c>
      <c r="B44" s="18">
        <f>_xlfn.CHISQ.INV.RT($B$4,A44)</f>
        <v>16.501272475544379</v>
      </c>
      <c r="C44" s="18">
        <f>_xlfn.CHISQ.INV.RT($C$4,A44)</f>
        <v>17.789146923546873</v>
      </c>
      <c r="D44" s="18">
        <f>_xlfn.CHISQ.INV.RT($D$4,A44)</f>
        <v>19.806252939214577</v>
      </c>
      <c r="E44" s="18">
        <f>_xlfn.CHISQ.INV.RT($E$4,A44)</f>
        <v>21.664280712551975</v>
      </c>
      <c r="F44" s="18">
        <f>_xlfn.CHISQ.INV.RT($F$4,A44)</f>
        <v>23.952253270899316</v>
      </c>
      <c r="G44" s="18"/>
      <c r="H44" s="18">
        <f>_xlfn.CHISQ.INV.RT($H$4,A44)</f>
        <v>44.90315751851994</v>
      </c>
      <c r="I44" s="18">
        <f>_xlfn.CHISQ.INV.RT($I$4,A44)</f>
        <v>48.602367367294192</v>
      </c>
      <c r="J44" s="18">
        <f>_xlfn.CHISQ.INV.RT($J$4,A44)</f>
        <v>51.965995195121906</v>
      </c>
      <c r="K44" s="18">
        <f>_xlfn.CHISQ.INV.RT($K$4,A44)</f>
        <v>56.060908747789078</v>
      </c>
      <c r="L44" s="19">
        <f>_xlfn.CHISQ.INV.RT($L$4,A44)</f>
        <v>58.963925875519394</v>
      </c>
    </row>
    <row r="45" spans="1:17" x14ac:dyDescent="0.25">
      <c r="A45" s="25">
        <v>35</v>
      </c>
      <c r="B45" s="18">
        <f>_xlfn.CHISQ.INV.RT($B$4,A45)</f>
        <v>17.191820342443918</v>
      </c>
      <c r="C45" s="18">
        <f>_xlfn.CHISQ.INV.RT($C$4,A45)</f>
        <v>18.508926227024915</v>
      </c>
      <c r="D45" s="18">
        <f>_xlfn.CHISQ.INV.RT($D$4,A45)</f>
        <v>20.569376630744966</v>
      </c>
      <c r="E45" s="18">
        <f>_xlfn.CHISQ.INV.RT($E$4,A45)</f>
        <v>22.465015220882691</v>
      </c>
      <c r="F45" s="18">
        <f>_xlfn.CHISQ.INV.RT($F$4,A45)</f>
        <v>24.796654783692496</v>
      </c>
      <c r="G45" s="18"/>
      <c r="H45" s="18">
        <f>_xlfn.CHISQ.INV.RT($H$4,A45)</f>
        <v>46.058788436836693</v>
      </c>
      <c r="I45" s="18">
        <f>_xlfn.CHISQ.INV.RT($I$4,A45)</f>
        <v>49.801849568201867</v>
      </c>
      <c r="J45" s="18">
        <f>_xlfn.CHISQ.INV.RT($J$4,A45)</f>
        <v>53.203348542056496</v>
      </c>
      <c r="K45" s="18">
        <f>_xlfn.CHISQ.INV.RT($K$4,A45)</f>
        <v>57.342073433859248</v>
      </c>
      <c r="L45" s="19">
        <f>_xlfn.CHISQ.INV.RT($L$4,A45)</f>
        <v>60.274770904781043</v>
      </c>
    </row>
    <row r="46" spans="1:17" x14ac:dyDescent="0.25">
      <c r="A46" s="2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9"/>
    </row>
    <row r="47" spans="1:17" x14ac:dyDescent="0.25">
      <c r="A47" s="25">
        <v>36</v>
      </c>
      <c r="B47" s="18">
        <f>_xlfn.CHISQ.INV.RT($B$4,A47)</f>
        <v>17.886726503300213</v>
      </c>
      <c r="C47" s="18">
        <f>_xlfn.CHISQ.INV.RT($C$4,A47)</f>
        <v>19.232675832154079</v>
      </c>
      <c r="D47" s="18">
        <f>_xlfn.CHISQ.INV.RT($D$4,A47)</f>
        <v>21.335881560799049</v>
      </c>
      <c r="E47" s="18">
        <f>_xlfn.CHISQ.INV.RT($E$4,A47)</f>
        <v>23.268609018893766</v>
      </c>
      <c r="F47" s="18">
        <f>_xlfn.CHISQ.INV.RT($F$4,A47)</f>
        <v>25.643299879851067</v>
      </c>
      <c r="G47" s="18"/>
      <c r="H47" s="18">
        <f>_xlfn.CHISQ.INV.RT($H$4,A47)</f>
        <v>47.212173894937365</v>
      </c>
      <c r="I47" s="18">
        <f>_xlfn.CHISQ.INV.RT($I$4,A47)</f>
        <v>50.998460165710647</v>
      </c>
      <c r="J47" s="18">
        <f>_xlfn.CHISQ.INV.RT($J$4,A47)</f>
        <v>54.437293631813226</v>
      </c>
      <c r="K47" s="18">
        <f>_xlfn.CHISQ.INV.RT($K$4,A47)</f>
        <v>58.619214501687054</v>
      </c>
      <c r="L47" s="19">
        <f>_xlfn.CHISQ.INV.RT($L$4,A47)</f>
        <v>61.581179114757255</v>
      </c>
    </row>
    <row r="48" spans="1:17" x14ac:dyDescent="0.25">
      <c r="A48" s="25">
        <v>37</v>
      </c>
      <c r="B48" s="18">
        <f>_xlfn.CHISQ.INV.RT($B$4,A48)</f>
        <v>18.585812465049642</v>
      </c>
      <c r="C48" s="18">
        <f>_xlfn.CHISQ.INV.RT($C$4,A48)</f>
        <v>19.960232036407149</v>
      </c>
      <c r="D48" s="18">
        <f>_xlfn.CHISQ.INV.RT($D$4,A48)</f>
        <v>22.105627161169512</v>
      </c>
      <c r="E48" s="18">
        <f>_xlfn.CHISQ.INV.RT($E$4,A48)</f>
        <v>24.074942556679911</v>
      </c>
      <c r="F48" s="18">
        <f>_xlfn.CHISQ.INV.RT($F$4,A48)</f>
        <v>26.492094258349855</v>
      </c>
      <c r="G48" s="18"/>
      <c r="H48" s="18">
        <f>_xlfn.CHISQ.INV.RT($H$4,A48)</f>
        <v>48.363408352194327</v>
      </c>
      <c r="I48" s="18">
        <f>_xlfn.CHISQ.INV.RT($I$4,A48)</f>
        <v>52.192319730102881</v>
      </c>
      <c r="J48" s="18">
        <f>_xlfn.CHISQ.INV.RT($J$4,A48)</f>
        <v>55.667973264261093</v>
      </c>
      <c r="K48" s="18">
        <f>_xlfn.CHISQ.INV.RT($K$4,A48)</f>
        <v>59.892500045086891</v>
      </c>
      <c r="L48" s="19">
        <f>_xlfn.CHISQ.INV.RT($L$4,A48)</f>
        <v>62.883335453741161</v>
      </c>
    </row>
    <row r="49" spans="1:12" x14ac:dyDescent="0.25">
      <c r="A49" s="25">
        <v>38</v>
      </c>
      <c r="B49" s="18">
        <f>_xlfn.CHISQ.INV.RT($B$4,A49)</f>
        <v>19.288911558890987</v>
      </c>
      <c r="C49" s="18">
        <f>_xlfn.CHISQ.INV.RT($C$4,A49)</f>
        <v>20.691442062257167</v>
      </c>
      <c r="D49" s="18">
        <f>_xlfn.CHISQ.INV.RT($D$4,A49)</f>
        <v>22.878482328733465</v>
      </c>
      <c r="E49" s="18">
        <f>_xlfn.CHISQ.INV.RT($E$4,A49)</f>
        <v>24.883904383335626</v>
      </c>
      <c r="F49" s="18">
        <f>_xlfn.CHISQ.INV.RT($F$4,A49)</f>
        <v>27.342950042242862</v>
      </c>
      <c r="G49" s="18"/>
      <c r="H49" s="18">
        <f>_xlfn.CHISQ.INV.RT($H$4,A49)</f>
        <v>49.512579826575561</v>
      </c>
      <c r="I49" s="18">
        <f>_xlfn.CHISQ.INV.RT($I$4,A49)</f>
        <v>53.383540622969299</v>
      </c>
      <c r="J49" s="18">
        <f>_xlfn.CHISQ.INV.RT($J$4,A49)</f>
        <v>56.895520535055979</v>
      </c>
      <c r="K49" s="18">
        <f>_xlfn.CHISQ.INV.RT($K$4,A49)</f>
        <v>61.162086763689686</v>
      </c>
      <c r="L49" s="19">
        <f>_xlfn.CHISQ.INV.RT($L$4,A49)</f>
        <v>64.181412357406217</v>
      </c>
    </row>
    <row r="50" spans="1:12" x14ac:dyDescent="0.25">
      <c r="A50" s="25">
        <v>39</v>
      </c>
      <c r="B50" s="18">
        <f>_xlfn.CHISQ.INV.RT($B$4,A50)</f>
        <v>19.995867874956335</v>
      </c>
      <c r="C50" s="18">
        <f>_xlfn.CHISQ.INV.RT($C$4,A50)</f>
        <v>21.426163064945921</v>
      </c>
      <c r="D50" s="18">
        <f>_xlfn.CHISQ.INV.RT($D$4,A50)</f>
        <v>23.654324557593021</v>
      </c>
      <c r="E50" s="18">
        <f>_xlfn.CHISQ.INV.RT($E$4,A50)</f>
        <v>25.695390399574777</v>
      </c>
      <c r="F50" s="18">
        <f>_xlfn.CHISQ.INV.RT($F$4,A50)</f>
        <v>28.195785182400428</v>
      </c>
      <c r="G50" s="18"/>
      <c r="H50" s="18">
        <f>_xlfn.CHISQ.INV.RT($H$4,A50)</f>
        <v>50.65977049321372</v>
      </c>
      <c r="I50" s="18">
        <f>_xlfn.CHISQ.INV.RT($I$4,A50)</f>
        <v>54.572227758941729</v>
      </c>
      <c r="J50" s="18">
        <f>_xlfn.CHISQ.INV.RT($J$4,A50)</f>
        <v>58.120059734686265</v>
      </c>
      <c r="K50" s="18">
        <f>_xlfn.CHISQ.INV.RT($K$4,A50)</f>
        <v>62.428121016184896</v>
      </c>
      <c r="L50" s="19">
        <f>_xlfn.CHISQ.INV.RT($L$4,A50)</f>
        <v>65.475570903468011</v>
      </c>
    </row>
    <row r="51" spans="1:12" x14ac:dyDescent="0.25">
      <c r="A51" s="25">
        <v>40</v>
      </c>
      <c r="B51" s="18">
        <f>_xlfn.CHISQ.INV.RT($B$4,A51)</f>
        <v>20.706535316970083</v>
      </c>
      <c r="C51" s="18">
        <f>_xlfn.CHISQ.INV.RT($C$4,A51)</f>
        <v>22.164261252975162</v>
      </c>
      <c r="D51" s="18">
        <f>_xlfn.CHISQ.INV.RT($D$4,A51)</f>
        <v>24.433039170807891</v>
      </c>
      <c r="E51" s="18">
        <f>_xlfn.CHISQ.INV.RT($E$4,A51)</f>
        <v>26.509303196693111</v>
      </c>
      <c r="F51" s="18">
        <f>_xlfn.CHISQ.INV.RT($F$4,A51)</f>
        <v>29.050522930545512</v>
      </c>
      <c r="G51" s="18"/>
      <c r="H51" s="18">
        <f>_xlfn.CHISQ.INV.RT($H$4,A51)</f>
        <v>51.805057213317518</v>
      </c>
      <c r="I51" s="18">
        <f>_xlfn.CHISQ.INV.RT($I$4,A51)</f>
        <v>55.75847927888703</v>
      </c>
      <c r="J51" s="18">
        <f>_xlfn.CHISQ.INV.RT($J$4,A51)</f>
        <v>59.341707143171199</v>
      </c>
      <c r="K51" s="18">
        <f>_xlfn.CHISQ.INV.RT($K$4,A51)</f>
        <v>63.690739751564458</v>
      </c>
      <c r="L51" s="19">
        <f>_xlfn.CHISQ.INV.RT($L$4,A51)</f>
        <v>66.765961832803924</v>
      </c>
    </row>
    <row r="52" spans="1:12" x14ac:dyDescent="0.25">
      <c r="A52" s="2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9"/>
    </row>
    <row r="53" spans="1:12" x14ac:dyDescent="0.25">
      <c r="A53" s="25">
        <v>41</v>
      </c>
      <c r="B53" s="18">
        <f>_xlfn.CHISQ.INV.RT($B$4,A53)</f>
        <v>21.420776760823482</v>
      </c>
      <c r="C53" s="18">
        <f>_xlfn.CHISQ.INV.RT($C$4,A53)</f>
        <v>22.905611106081146</v>
      </c>
      <c r="D53" s="18">
        <f>_xlfn.CHISQ.INV.RT($D$4,A53)</f>
        <v>25.214518638112516</v>
      </c>
      <c r="E53" s="18">
        <f>_xlfn.CHISQ.INV.RT($E$4,A53)</f>
        <v>27.325551469994188</v>
      </c>
      <c r="F53" s="18">
        <f>_xlfn.CHISQ.INV.RT($F$4,A53)</f>
        <v>29.907091371995278</v>
      </c>
      <c r="G53" s="18"/>
      <c r="H53" s="18">
        <f>_xlfn.CHISQ.INV.RT($H$4,A53)</f>
        <v>52.94851200308203</v>
      </c>
      <c r="I53" s="18">
        <f>_xlfn.CHISQ.INV.RT($I$4,A53)</f>
        <v>56.942387146824103</v>
      </c>
      <c r="J53" s="18">
        <f>_xlfn.CHISQ.INV.RT($J$4,A53)</f>
        <v>60.560571734843755</v>
      </c>
      <c r="K53" s="18">
        <f>_xlfn.CHISQ.INV.RT($K$4,A53)</f>
        <v>64.950071335211177</v>
      </c>
      <c r="L53" s="19">
        <f>_xlfn.CHISQ.INV.RT($L$4,A53)</f>
        <v>68.052726455441601</v>
      </c>
    </row>
    <row r="54" spans="1:12" x14ac:dyDescent="0.25">
      <c r="A54" s="25">
        <v>42</v>
      </c>
      <c r="B54" s="18">
        <f>_xlfn.CHISQ.INV.RT($B$4,A54)</f>
        <v>22.138463303470573</v>
      </c>
      <c r="C54" s="18">
        <f>_xlfn.CHISQ.INV.RT($C$4,A54)</f>
        <v>23.650094677826193</v>
      </c>
      <c r="D54" s="18">
        <f>_xlfn.CHISQ.INV.RT($D$4,A54)</f>
        <v>25.998661968152376</v>
      </c>
      <c r="E54" s="18">
        <f>_xlfn.CHISQ.INV.RT($E$4,A54)</f>
        <v>28.144049496682634</v>
      </c>
      <c r="F54" s="18">
        <f>_xlfn.CHISQ.INV.RT($F$4,A54)</f>
        <v>30.765423010045325</v>
      </c>
      <c r="G54" s="18"/>
      <c r="H54" s="18">
        <f>_xlfn.CHISQ.INV.RT($H$4,A54)</f>
        <v>54.090202450712404</v>
      </c>
      <c r="I54" s="18">
        <f>_xlfn.CHISQ.INV.RT($I$4,A54)</f>
        <v>58.124037680868028</v>
      </c>
      <c r="J54" s="18">
        <f>_xlfn.CHISQ.INV.RT($J$4,A54)</f>
        <v>61.776755805349204</v>
      </c>
      <c r="K54" s="18">
        <f>_xlfn.CHISQ.INV.RT($K$4,A54)</f>
        <v>66.206236283993249</v>
      </c>
      <c r="L54" s="19">
        <f>_xlfn.CHISQ.INV.RT($L$4,A54)</f>
        <v>69.335997456900401</v>
      </c>
    </row>
    <row r="55" spans="1:12" x14ac:dyDescent="0.25">
      <c r="A55" s="25">
        <v>43</v>
      </c>
      <c r="B55" s="18">
        <f>_xlfn.CHISQ.INV.RT($B$4,A55)</f>
        <v>22.859473590598505</v>
      </c>
      <c r="C55" s="18">
        <f>_xlfn.CHISQ.INV.RT($C$4,A55)</f>
        <v>24.397600971897468</v>
      </c>
      <c r="D55" s="18">
        <f>_xlfn.CHISQ.INV.RT($D$4,A55)</f>
        <v>26.785374165536322</v>
      </c>
      <c r="E55" s="18">
        <f>_xlfn.CHISQ.INV.RT($E$4,A55)</f>
        <v>28.964716669775697</v>
      </c>
      <c r="F55" s="18">
        <f>_xlfn.CHISQ.INV.RT($F$4,A55)</f>
        <v>31.625454395189042</v>
      </c>
      <c r="G55" s="18"/>
      <c r="H55" s="18">
        <f>_xlfn.CHISQ.INV.RT($H$4,A55)</f>
        <v>55.230192088408906</v>
      </c>
      <c r="I55" s="18">
        <f>_xlfn.CHISQ.INV.RT($I$4,A55)</f>
        <v>59.303512026899817</v>
      </c>
      <c r="J55" s="18">
        <f>_xlfn.CHISQ.INV.RT($J$4,A55)</f>
        <v>62.990355531101983</v>
      </c>
      <c r="K55" s="18">
        <f>_xlfn.CHISQ.INV.RT($K$4,A55)</f>
        <v>67.459347922325833</v>
      </c>
      <c r="L55" s="19">
        <f>_xlfn.CHISQ.INV.RT($L$4,A55)</f>
        <v>70.615899617966363</v>
      </c>
    </row>
    <row r="56" spans="1:12" x14ac:dyDescent="0.25">
      <c r="A56" s="25">
        <v>44</v>
      </c>
      <c r="B56" s="18">
        <f>_xlfn.CHISQ.INV.RT($B$4,A56)</f>
        <v>23.583693213226709</v>
      </c>
      <c r="C56" s="18">
        <f>_xlfn.CHISQ.INV.RT($C$4,A56)</f>
        <v>25.148025382824489</v>
      </c>
      <c r="D56" s="18">
        <f>_xlfn.CHISQ.INV.RT($D$4,A56)</f>
        <v>27.574565744459225</v>
      </c>
      <c r="E56" s="18">
        <f>_xlfn.CHISQ.INV.RT($E$4,A56)</f>
        <v>29.787477080861958</v>
      </c>
      <c r="F56" s="18">
        <f>_xlfn.CHISQ.INV.RT($F$4,A56)</f>
        <v>32.487125793400523</v>
      </c>
      <c r="G56" s="18"/>
      <c r="H56" s="18">
        <f>_xlfn.CHISQ.INV.RT($H$4,A56)</f>
        <v>56.368540725118756</v>
      </c>
      <c r="I56" s="18">
        <f>_xlfn.CHISQ.INV.RT($I$4,A56)</f>
        <v>60.480886582336453</v>
      </c>
      <c r="J56" s="18">
        <f>_xlfn.CHISQ.INV.RT($J$4,A56)</f>
        <v>64.20146146988678</v>
      </c>
      <c r="K56" s="18">
        <f>_xlfn.CHISQ.INV.RT($K$4,A56)</f>
        <v>68.709512969345397</v>
      </c>
      <c r="L56" s="19">
        <f>_xlfn.CHISQ.INV.RT($L$4,A56)</f>
        <v>71.892550458999153</v>
      </c>
    </row>
    <row r="57" spans="1:12" x14ac:dyDescent="0.25">
      <c r="A57" s="25">
        <v>45</v>
      </c>
      <c r="B57" s="18">
        <f>_xlfn.CHISQ.INV.RT($B$4,A57)</f>
        <v>24.311014164807947</v>
      </c>
      <c r="C57" s="18">
        <f>_xlfn.CHISQ.INV.RT($C$4,A57)</f>
        <v>25.901269193178042</v>
      </c>
      <c r="D57" s="18">
        <f>_xlfn.CHISQ.INV.RT($D$4,A57)</f>
        <v>28.366152291859848</v>
      </c>
      <c r="E57" s="18">
        <f>_xlfn.CHISQ.INV.RT($E$4,A57)</f>
        <v>30.612259145595473</v>
      </c>
      <c r="F57" s="18">
        <f>_xlfn.CHISQ.INV.RT($F$4,A57)</f>
        <v>33.350380888566818</v>
      </c>
      <c r="G57" s="18"/>
      <c r="H57" s="18">
        <f>_xlfn.CHISQ.INV.RT($H$4,A57)</f>
        <v>57.505304744995989</v>
      </c>
      <c r="I57" s="18">
        <f>_xlfn.CHISQ.INV.RT($I$4,A57)</f>
        <v>61.656233376279566</v>
      </c>
      <c r="J57" s="18">
        <f>_xlfn.CHISQ.INV.RT($J$4,A57)</f>
        <v>65.410159009999589</v>
      </c>
      <c r="K57" s="18">
        <f>_xlfn.CHISQ.INV.RT($K$4,A57)</f>
        <v>69.956832065838213</v>
      </c>
      <c r="L57" s="19">
        <f>_xlfn.CHISQ.INV.RT($L$4,A57)</f>
        <v>73.166060818225048</v>
      </c>
    </row>
    <row r="58" spans="1:12" x14ac:dyDescent="0.25">
      <c r="A58" s="2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9"/>
    </row>
    <row r="59" spans="1:12" x14ac:dyDescent="0.25">
      <c r="A59" s="25">
        <v>46</v>
      </c>
      <c r="B59" s="18">
        <f>_xlfn.CHISQ.INV.RT($B$4,A59)</f>
        <v>25.041334351592937</v>
      </c>
      <c r="C59" s="18">
        <f>_xlfn.CHISQ.INV.RT($C$4,A59)</f>
        <v>26.657239120440895</v>
      </c>
      <c r="D59" s="18">
        <f>_xlfn.CHISQ.INV.RT($D$4,A59)</f>
        <v>29.160054074089356</v>
      </c>
      <c r="E59" s="18">
        <f>_xlfn.CHISQ.INV.RT($E$4,A59)</f>
        <v>31.438995266697056</v>
      </c>
      <c r="F59" s="18">
        <f>_xlfn.CHISQ.INV.RT($F$4,A59)</f>
        <v>34.215166514869836</v>
      </c>
      <c r="G59" s="18"/>
      <c r="H59" s="18">
        <f>_xlfn.CHISQ.INV.RT($H$4,A59)</f>
        <v>58.640537375791716</v>
      </c>
      <c r="I59" s="18">
        <f>_xlfn.CHISQ.INV.RT($I$4,A59)</f>
        <v>62.829620411408179</v>
      </c>
      <c r="J59" s="18">
        <f>_xlfn.CHISQ.INV.RT($J$4,A59)</f>
        <v>66.616528774250483</v>
      </c>
      <c r="K59" s="18">
        <f>_xlfn.CHISQ.INV.RT($K$4,A59)</f>
        <v>71.201400248311543</v>
      </c>
      <c r="L59" s="19">
        <f>_xlfn.CHISQ.INV.RT($L$4,A59)</f>
        <v>74.436535372101702</v>
      </c>
    </row>
    <row r="60" spans="1:12" x14ac:dyDescent="0.25">
      <c r="A60" s="25">
        <v>47</v>
      </c>
      <c r="B60" s="18">
        <f>_xlfn.CHISQ.INV.RT($B$4,A60)</f>
        <v>25.774557150020492</v>
      </c>
      <c r="C60" s="18">
        <f>_xlfn.CHISQ.INV.RT($C$4,A60)</f>
        <v>27.415846907690124</v>
      </c>
      <c r="D60" s="18">
        <f>_xlfn.CHISQ.INV.RT($D$4,A60)</f>
        <v>29.956195681912099</v>
      </c>
      <c r="E60" s="18">
        <f>_xlfn.CHISQ.INV.RT($E$4,A60)</f>
        <v>32.267621529973397</v>
      </c>
      <c r="F60" s="18">
        <f>_xlfn.CHISQ.INV.RT($F$4,A60)</f>
        <v>35.08143241551474</v>
      </c>
      <c r="G60" s="18"/>
      <c r="H60" s="18">
        <f>_xlfn.CHISQ.INV.RT($H$4,A60)</f>
        <v>59.774288930795954</v>
      </c>
      <c r="I60" s="18">
        <f>_xlfn.CHISQ.INV.RT($I$4,A60)</f>
        <v>64.001111972218027</v>
      </c>
      <c r="J60" s="18">
        <f>_xlfn.CHISQ.INV.RT($J$4,A60)</f>
        <v>67.820646984252477</v>
      </c>
      <c r="K60" s="18">
        <f>_xlfn.CHISQ.INV.RT($K$4,A60)</f>
        <v>72.443307376548248</v>
      </c>
      <c r="L60" s="19">
        <f>_xlfn.CHISQ.INV.RT($L$4,A60)</f>
        <v>75.704073104694757</v>
      </c>
    </row>
    <row r="61" spans="1:12" x14ac:dyDescent="0.25">
      <c r="A61" s="25">
        <v>48</v>
      </c>
      <c r="B61" s="18">
        <f>_xlfn.CHISQ.INV.RT($B$4,A61)</f>
        <v>26.510591005737393</v>
      </c>
      <c r="C61" s="18">
        <f>_xlfn.CHISQ.INV.RT($C$4,A61)</f>
        <v>28.177008953028867</v>
      </c>
      <c r="D61" s="18">
        <f>_xlfn.CHISQ.INV.RT($D$4,A61)</f>
        <v>30.754505709372928</v>
      </c>
      <c r="E61" s="18">
        <f>_xlfn.CHISQ.INV.RT($E$4,A61)</f>
        <v>33.098077429486295</v>
      </c>
      <c r="F61" s="18">
        <f>_xlfn.CHISQ.INV.RT($F$4,A61)</f>
        <v>35.949131024703327</v>
      </c>
      <c r="G61" s="18"/>
      <c r="H61" s="18">
        <f>_xlfn.CHISQ.INV.RT($H$4,A61)</f>
        <v>60.906607027448366</v>
      </c>
      <c r="I61" s="18">
        <f>_xlfn.CHISQ.INV.RT($I$4,A61)</f>
        <v>65.170768903569837</v>
      </c>
      <c r="J61" s="18">
        <f>_xlfn.CHISQ.INV.RT($J$4,A61)</f>
        <v>69.022585789666081</v>
      </c>
      <c r="K61" s="18">
        <f>_xlfn.CHISQ.INV.RT($K$4,A61)</f>
        <v>73.682638520105755</v>
      </c>
      <c r="L61" s="19">
        <f>_xlfn.CHISQ.INV.RT($L$4,A61)</f>
        <v>76.968767732044569</v>
      </c>
    </row>
    <row r="62" spans="1:12" x14ac:dyDescent="0.25">
      <c r="A62" s="25">
        <v>49</v>
      </c>
      <c r="B62" s="18">
        <f>_xlfn.CHISQ.INV.RT($B$4,A62)</f>
        <v>27.249349069569636</v>
      </c>
      <c r="C62" s="18">
        <f>_xlfn.CHISQ.INV.RT($C$4,A62)</f>
        <v>28.94064597338151</v>
      </c>
      <c r="D62" s="18">
        <f>_xlfn.CHISQ.INV.RT($D$4,A62)</f>
        <v>31.554916462667144</v>
      </c>
      <c r="E62" s="18">
        <f>_xlfn.CHISQ.INV.RT($E$4,A62)</f>
        <v>33.930305618527832</v>
      </c>
      <c r="F62" s="18">
        <f>_xlfn.CHISQ.INV.RT($F$4,A62)</f>
        <v>36.818217270172831</v>
      </c>
      <c r="G62" s="18"/>
      <c r="H62" s="18">
        <f>_xlfn.CHISQ.INV.RT($H$4,A62)</f>
        <v>62.037536785309662</v>
      </c>
      <c r="I62" s="18">
        <f>_xlfn.CHISQ.INV.RT($I$4,A62)</f>
        <v>66.338648862968824</v>
      </c>
      <c r="J62" s="18">
        <f>_xlfn.CHISQ.INV.RT($J$4,A62)</f>
        <v>70.22241356643454</v>
      </c>
      <c r="K62" s="18">
        <f>_xlfn.CHISQ.INV.RT($K$4,A62)</f>
        <v>74.919474308478186</v>
      </c>
      <c r="L62" s="19">
        <f>_xlfn.CHISQ.INV.RT($L$4,A62)</f>
        <v>78.230708086689944</v>
      </c>
    </row>
    <row r="63" spans="1:12" x14ac:dyDescent="0.25">
      <c r="A63" s="25">
        <v>50</v>
      </c>
      <c r="B63" s="18">
        <f>_xlfn.CHISQ.INV.RT($B$4,A63)</f>
        <v>27.990748866373302</v>
      </c>
      <c r="C63" s="18">
        <f>_xlfn.CHISQ.INV.RT($C$4,A63)</f>
        <v>29.706682698841298</v>
      </c>
      <c r="D63" s="18">
        <f>_xlfn.CHISQ.INV.RT($D$4,A63)</f>
        <v>32.357363695658648</v>
      </c>
      <c r="E63" s="18">
        <f>_xlfn.CHISQ.INV.RT($E$4,A63)</f>
        <v>34.764251683501755</v>
      </c>
      <c r="F63" s="18">
        <f>_xlfn.CHISQ.INV.RT($F$4,A63)</f>
        <v>37.68864839397849</v>
      </c>
      <c r="G63" s="18"/>
      <c r="H63" s="18">
        <f>_xlfn.CHISQ.INV.RT($H$4,A63)</f>
        <v>63.167121005726315</v>
      </c>
      <c r="I63" s="18">
        <f>_xlfn.CHISQ.INV.RT($I$4,A63)</f>
        <v>67.504806549541186</v>
      </c>
      <c r="J63" s="18">
        <f>_xlfn.CHISQ.INV.RT($J$4,A63)</f>
        <v>71.420195187506408</v>
      </c>
      <c r="K63" s="18">
        <f>_xlfn.CHISQ.INV.RT($K$4,A63)</f>
        <v>76.15389124901273</v>
      </c>
      <c r="L63" s="19">
        <f>_xlfn.CHISQ.INV.RT($L$4,A63)</f>
        <v>79.489978466828902</v>
      </c>
    </row>
    <row r="64" spans="1:12" x14ac:dyDescent="0.25">
      <c r="A64" s="25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/>
    </row>
    <row r="65" spans="1:12" x14ac:dyDescent="0.25">
      <c r="A65" s="25">
        <v>51</v>
      </c>
      <c r="B65" s="18">
        <f>_xlfn.CHISQ.INV.RT($B$4,A65)</f>
        <v>28.734711993211963</v>
      </c>
      <c r="C65" s="18">
        <f>_xlfn.CHISQ.INV.RT($C$4,A65)</f>
        <v>30.475047594247524</v>
      </c>
      <c r="D65" s="18">
        <f>_xlfn.CHISQ.INV.RT($D$4,A65)</f>
        <v>33.161786369126929</v>
      </c>
      <c r="E65" s="18">
        <f>_xlfn.CHISQ.INV.RT($E$4,A65)</f>
        <v>35.5998639381883</v>
      </c>
      <c r="F65" s="18">
        <f>_xlfn.CHISQ.INV.RT($F$4,A65)</f>
        <v>38.560383789501401</v>
      </c>
      <c r="G65" s="18"/>
      <c r="H65" s="18">
        <f>_xlfn.CHISQ.INV.RT($H$4,A65)</f>
        <v>64.295400335215845</v>
      </c>
      <c r="I65" s="18">
        <f>_xlfn.CHISQ.INV.RT($I$4,A65)</f>
        <v>68.669293912285795</v>
      </c>
      <c r="J65" s="18">
        <f>_xlfn.CHISQ.INV.RT($J$4,A65)</f>
        <v>72.61599226908578</v>
      </c>
      <c r="K65" s="18">
        <f>_xlfn.CHISQ.INV.RT($K$4,A65)</f>
        <v>77.385962016137256</v>
      </c>
      <c r="L65" s="19">
        <f>_xlfn.CHISQ.INV.RT($L$4,A65)</f>
        <v>80.746658954013228</v>
      </c>
    </row>
    <row r="66" spans="1:12" x14ac:dyDescent="0.25">
      <c r="A66" s="25">
        <v>52</v>
      </c>
      <c r="B66" s="18">
        <f>_xlfn.CHISQ.INV.RT($B$4,A66)</f>
        <v>29.481163843753311</v>
      </c>
      <c r="C66" s="18">
        <f>_xlfn.CHISQ.INV.RT($C$4,A66)</f>
        <v>31.24567260508816</v>
      </c>
      <c r="D66" s="18">
        <f>_xlfn.CHISQ.INV.RT($D$4,A66)</f>
        <v>33.968126431192687</v>
      </c>
      <c r="E66" s="18">
        <f>_xlfn.CHISQ.INV.RT($E$4,A66)</f>
        <v>36.437093236191636</v>
      </c>
      <c r="F66" s="18">
        <f>_xlfn.CHISQ.INV.RT($F$4,A66)</f>
        <v>39.433384852921947</v>
      </c>
      <c r="G66" s="18"/>
      <c r="H66" s="18">
        <f>_xlfn.CHISQ.INV.RT($H$4,A66)</f>
        <v>65.422413414339772</v>
      </c>
      <c r="I66" s="18">
        <f>_xlfn.CHISQ.INV.RT($I$4,A66)</f>
        <v>69.83216033984813</v>
      </c>
      <c r="J66" s="18">
        <f>_xlfn.CHISQ.INV.RT($J$4,A66)</f>
        <v>73.809863395060745</v>
      </c>
      <c r="K66" s="18">
        <f>_xlfn.CHISQ.INV.RT($K$4,A66)</f>
        <v>78.615755715002479</v>
      </c>
      <c r="L66" s="19">
        <f>_xlfn.CHISQ.INV.RT($L$4,A66)</f>
        <v>82.000825702775359</v>
      </c>
    </row>
    <row r="67" spans="1:12" x14ac:dyDescent="0.25">
      <c r="A67" s="25">
        <v>53</v>
      </c>
      <c r="B67" s="18">
        <f>_xlfn.CHISQ.INV.RT($B$4,A67)</f>
        <v>30.230033356157477</v>
      </c>
      <c r="C67" s="18">
        <f>_xlfn.CHISQ.INV.RT($C$4,A67)</f>
        <v>32.018492925182919</v>
      </c>
      <c r="D67" s="18">
        <f>_xlfn.CHISQ.INV.RT($D$4,A67)</f>
        <v>34.77632861669062</v>
      </c>
      <c r="E67" s="18">
        <f>_xlfn.CHISQ.INV.RT($E$4,A67)</f>
        <v>37.275892799644303</v>
      </c>
      <c r="F67" s="18">
        <f>_xlfn.CHISQ.INV.RT($F$4,A67)</f>
        <v>40.307614847620378</v>
      </c>
      <c r="G67" s="18"/>
      <c r="H67" s="18">
        <f>_xlfn.CHISQ.INV.RT($H$4,A67)</f>
        <v>66.548197013609254</v>
      </c>
      <c r="I67" s="18">
        <f>_xlfn.CHISQ.INV.RT($I$4,A67)</f>
        <v>70.993452833782285</v>
      </c>
      <c r="J67" s="18">
        <f>_xlfn.CHISQ.INV.RT($J$4,A67)</f>
        <v>75.001864321928622</v>
      </c>
      <c r="K67" s="18">
        <f>_xlfn.CHISQ.INV.RT($K$4,A67)</f>
        <v>79.843338122251481</v>
      </c>
      <c r="L67" s="19">
        <f>_xlfn.CHISQ.INV.RT($L$4,A67)</f>
        <v>83.25255120516114</v>
      </c>
    </row>
    <row r="68" spans="1:12" x14ac:dyDescent="0.25">
      <c r="A68" s="25">
        <v>54</v>
      </c>
      <c r="B68" s="18">
        <f>_xlfn.CHISQ.INV.RT($B$4,A68)</f>
        <v>30.981252782058863</v>
      </c>
      <c r="C68" s="18">
        <f>_xlfn.CHISQ.INV.RT($C$4,A68)</f>
        <v>32.793446783909005</v>
      </c>
      <c r="D68" s="18">
        <f>_xlfn.CHISQ.INV.RT($D$4,A68)</f>
        <v>35.58634026352955</v>
      </c>
      <c r="E68" s="18">
        <f>_xlfn.CHISQ.INV.RT($E$4,A68)</f>
        <v>38.116218062479405</v>
      </c>
      <c r="F68" s="18">
        <f>_xlfn.CHISQ.INV.RT($F$4,A68)</f>
        <v>41.183038780155478</v>
      </c>
      <c r="G68" s="18"/>
      <c r="H68" s="18">
        <f>_xlfn.CHISQ.INV.RT($H$4,A68)</f>
        <v>67.672786157777495</v>
      </c>
      <c r="I68" s="18">
        <f>_xlfn.CHISQ.INV.RT($I$4,A68)</f>
        <v>72.153216167023103</v>
      </c>
      <c r="J68" s="18">
        <f>_xlfn.CHISQ.INV.RT($J$4,A68)</f>
        <v>76.192048166250046</v>
      </c>
      <c r="K68" s="18">
        <f>_xlfn.CHISQ.INV.RT($K$4,A68)</f>
        <v>81.068771906297101</v>
      </c>
      <c r="L68" s="19">
        <f>_xlfn.CHISQ.INV.RT($L$4,A68)</f>
        <v>84.50190453277645</v>
      </c>
    </row>
    <row r="69" spans="1:12" x14ac:dyDescent="0.25">
      <c r="A69" s="25">
        <v>55</v>
      </c>
      <c r="B69" s="18">
        <f>_xlfn.CHISQ.INV.RT($B$4,A69)</f>
        <v>31.734757474526582</v>
      </c>
      <c r="C69" s="18">
        <f>_xlfn.CHISQ.INV.RT($C$4,A69)</f>
        <v>33.570475251000239</v>
      </c>
      <c r="D69" s="18">
        <f>_xlfn.CHISQ.INV.RT($D$4,A69)</f>
        <v>36.398111144315301</v>
      </c>
      <c r="E69" s="18">
        <f>_xlfn.CHISQ.INV.RT($E$4,A69)</f>
        <v>38.958026526785098</v>
      </c>
      <c r="F69" s="18">
        <f>_xlfn.CHISQ.INV.RT($F$4,A69)</f>
        <v>42.05962328663589</v>
      </c>
      <c r="G69" s="18"/>
      <c r="H69" s="18">
        <f>_xlfn.CHISQ.INV.RT($H$4,A69)</f>
        <v>68.796214239709315</v>
      </c>
      <c r="I69" s="18">
        <f>_xlfn.CHISQ.INV.RT($I$4,A69)</f>
        <v>73.311493029083252</v>
      </c>
      <c r="J69" s="18">
        <f>_xlfn.CHISQ.INV.RT($J$4,A69)</f>
        <v>77.380465576419155</v>
      </c>
      <c r="K69" s="18">
        <f>_xlfn.CHISQ.INV.RT($K$4,A69)</f>
        <v>82.292116829199671</v>
      </c>
      <c r="L69" s="19">
        <f>_xlfn.CHISQ.INV.RT($L$4,A69)</f>
        <v>85.748951558641025</v>
      </c>
    </row>
    <row r="70" spans="1:12" x14ac:dyDescent="0.25">
      <c r="A70" s="2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/>
    </row>
    <row r="71" spans="1:12" x14ac:dyDescent="0.25">
      <c r="A71" s="25">
        <v>56</v>
      </c>
      <c r="B71" s="18">
        <f>_xlfn.CHISQ.INV.RT($B$4,A71)</f>
        <v>32.490485693134652</v>
      </c>
      <c r="C71" s="18">
        <f>_xlfn.CHISQ.INV.RT($C$4,A71)</f>
        <v>34.34952205717817</v>
      </c>
      <c r="D71" s="18">
        <f>_xlfn.CHISQ.INV.RT($D$4,A71)</f>
        <v>37.211593311715063</v>
      </c>
      <c r="E71" s="18">
        <f>_xlfn.CHISQ.INV.RT($E$4,A71)</f>
        <v>39.80127763093126</v>
      </c>
      <c r="F71" s="18">
        <f>_xlfn.CHISQ.INV.RT($F$4,A71)</f>
        <v>42.937336528439218</v>
      </c>
      <c r="G71" s="18"/>
      <c r="H71" s="18">
        <f>_xlfn.CHISQ.INV.RT($H$4,A71)</f>
        <v>69.91851312487637</v>
      </c>
      <c r="I71" s="18">
        <f>_xlfn.CHISQ.INV.RT($I$4,A71)</f>
        <v>74.468324159309361</v>
      </c>
      <c r="J71" s="18">
        <f>_xlfn.CHISQ.INV.RT($J$4,A71)</f>
        <v>78.567164890324193</v>
      </c>
      <c r="K71" s="18">
        <f>_xlfn.CHISQ.INV.RT($K$4,A71)</f>
        <v>83.513429931989407</v>
      </c>
      <c r="L71" s="19">
        <f>_xlfn.CHISQ.INV.RT($L$4,A71)</f>
        <v>86.993755160871743</v>
      </c>
    </row>
    <row r="72" spans="1:12" x14ac:dyDescent="0.25">
      <c r="A72" s="25">
        <v>57</v>
      </c>
      <c r="B72" s="18">
        <f>_xlfn.CHISQ.INV.RT($B$4,A72)</f>
        <v>33.248378424486411</v>
      </c>
      <c r="C72" s="18">
        <f>_xlfn.CHISQ.INV.RT($C$4,A72)</f>
        <v>35.130533429075527</v>
      </c>
      <c r="D72" s="18">
        <f>_xlfn.CHISQ.INV.RT($D$4,A72)</f>
        <v>38.026740956217445</v>
      </c>
      <c r="E72" s="18">
        <f>_xlfn.CHISQ.INV.RT($E$4,A72)</f>
        <v>40.645932628310639</v>
      </c>
      <c r="F72" s="18">
        <f>_xlfn.CHISQ.INV.RT($F$4,A72)</f>
        <v>43.816148096355931</v>
      </c>
      <c r="G72" s="18"/>
      <c r="H72" s="18">
        <f>_xlfn.CHISQ.INV.RT($H$4,A72)</f>
        <v>71.039713247404322</v>
      </c>
      <c r="I72" s="18">
        <f>_xlfn.CHISQ.INV.RT($I$4,A72)</f>
        <v>75.623748469376068</v>
      </c>
      <c r="J72" s="18">
        <f>_xlfn.CHISQ.INV.RT($J$4,A72)</f>
        <v>79.752192280290373</v>
      </c>
      <c r="K72" s="18">
        <f>_xlfn.CHISQ.INV.RT($K$4,A72)</f>
        <v>84.732765705063827</v>
      </c>
      <c r="L72" s="19">
        <f>_xlfn.CHISQ.INV.RT($L$4,A72)</f>
        <v>88.236375409982116</v>
      </c>
    </row>
    <row r="73" spans="1:12" x14ac:dyDescent="0.25">
      <c r="A73" s="25">
        <v>58</v>
      </c>
      <c r="B73" s="18">
        <f>_xlfn.CHISQ.INV.RT($B$4,A73)</f>
        <v>34.008379216723625</v>
      </c>
      <c r="C73" s="18">
        <f>_xlfn.CHISQ.INV.RT($C$4,A73)</f>
        <v>35.913457937085226</v>
      </c>
      <c r="D73" s="18">
        <f>_xlfn.CHISQ.INV.RT($D$4,A73)</f>
        <v>38.843510275095866</v>
      </c>
      <c r="E73" s="18">
        <f>_xlfn.CHISQ.INV.RT($E$4,A73)</f>
        <v>41.491954475668962</v>
      </c>
      <c r="F73" s="18">
        <f>_xlfn.CHISQ.INV.RT($F$4,A73)</f>
        <v>44.696028922341078</v>
      </c>
      <c r="G73" s="18"/>
      <c r="H73" s="18">
        <f>_xlfn.CHISQ.INV.RT($H$4,A73)</f>
        <v>72.159843698492153</v>
      </c>
      <c r="I73" s="18">
        <f>_xlfn.CHISQ.INV.RT($I$4,A73)</f>
        <v>76.777803156061495</v>
      </c>
      <c r="J73" s="18">
        <f>_xlfn.CHISQ.INV.RT($J$4,A73)</f>
        <v>80.935591886536386</v>
      </c>
      <c r="K73" s="18">
        <f>_xlfn.CHISQ.INV.RT($K$4,A73)</f>
        <v>85.950176245103478</v>
      </c>
      <c r="L73" s="19">
        <f>_xlfn.CHISQ.INV.RT($L$4,A73)</f>
        <v>89.476869741381051</v>
      </c>
    </row>
    <row r="74" spans="1:12" x14ac:dyDescent="0.25">
      <c r="A74" s="25">
        <v>59</v>
      </c>
      <c r="B74" s="18">
        <f>_xlfn.CHISQ.INV.RT($B$4,A74)</f>
        <v>34.770434026711989</v>
      </c>
      <c r="C74" s="18">
        <f>_xlfn.CHISQ.INV.RT($C$4,A74)</f>
        <v>36.698246354920606</v>
      </c>
      <c r="D74" s="18">
        <f>_xlfn.CHISQ.INV.RT($D$4,A74)</f>
        <v>39.661859351515659</v>
      </c>
      <c r="E74" s="18">
        <f>_xlfn.CHISQ.INV.RT($E$4,A74)</f>
        <v>42.339307730113468</v>
      </c>
      <c r="F74" s="18">
        <f>_xlfn.CHISQ.INV.RT($F$4,A74)</f>
        <v>45.576951198148585</v>
      </c>
      <c r="G74" s="18"/>
      <c r="H74" s="18">
        <f>_xlfn.CHISQ.INV.RT($H$4,A74)</f>
        <v>73.27893230793083</v>
      </c>
      <c r="I74" s="18">
        <f>_xlfn.CHISQ.INV.RT($I$4,A74)</f>
        <v>77.930523805230422</v>
      </c>
      <c r="J74" s="18">
        <f>_xlfn.CHISQ.INV.RT($J$4,A74)</f>
        <v>82.117405940238299</v>
      </c>
      <c r="K74" s="18">
        <f>_xlfn.CHISQ.INV.RT($K$4,A74)</f>
        <v>87.165711399787568</v>
      </c>
      <c r="L74" s="19">
        <f>_xlfn.CHISQ.INV.RT($L$4,A74)</f>
        <v>90.71529311447577</v>
      </c>
    </row>
    <row r="75" spans="1:12" x14ac:dyDescent="0.25">
      <c r="A75" s="25">
        <v>60</v>
      </c>
      <c r="B75" s="18">
        <f>_xlfn.CHISQ.INV.RT($B$4,A75)</f>
        <v>35.534491078738533</v>
      </c>
      <c r="C75" s="18">
        <f>_xlfn.CHISQ.INV.RT($C$4,A75)</f>
        <v>37.484851529803777</v>
      </c>
      <c r="D75" s="18">
        <f>_xlfn.CHISQ.INV.RT($D$4,A75)</f>
        <v>40.481748042841836</v>
      </c>
      <c r="E75" s="18">
        <f>_xlfn.CHISQ.INV.RT($E$4,A75)</f>
        <v>43.187958453989765</v>
      </c>
      <c r="F75" s="18">
        <f>_xlfn.CHISQ.INV.RT($F$4,A75)</f>
        <v>46.458888300203441</v>
      </c>
      <c r="G75" s="18"/>
      <c r="H75" s="18">
        <f>_xlfn.CHISQ.INV.RT($H$4,A75)</f>
        <v>74.397005719368593</v>
      </c>
      <c r="I75" s="18">
        <f>_xlfn.CHISQ.INV.RT($I$4,A75)</f>
        <v>79.081944487848716</v>
      </c>
      <c r="J75" s="18">
        <f>_xlfn.CHISQ.INV.RT($J$4,A75)</f>
        <v>83.297674877173193</v>
      </c>
      <c r="K75" s="18">
        <f>_xlfn.CHISQ.INV.RT($K$4,A75)</f>
        <v>88.379418901449327</v>
      </c>
      <c r="L75" s="19">
        <f>_xlfn.CHISQ.INV.RT($L$4,A75)</f>
        <v>91.951698159629714</v>
      </c>
    </row>
    <row r="76" spans="1:12" x14ac:dyDescent="0.25">
      <c r="A76" s="2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/>
    </row>
    <row r="77" spans="1:12" x14ac:dyDescent="0.25">
      <c r="A77" s="25">
        <v>61</v>
      </c>
      <c r="B77" s="18">
        <f>_xlfn.CHISQ.INV.RT($B$4,A77)</f>
        <v>36.300500733678568</v>
      </c>
      <c r="C77" s="18">
        <f>_xlfn.CHISQ.INV.RT($C$4,A77)</f>
        <v>38.273228262316948</v>
      </c>
      <c r="D77" s="18">
        <f>_xlfn.CHISQ.INV.RT($D$4,A77)</f>
        <v>41.303137877306483</v>
      </c>
      <c r="E77" s="18">
        <f>_xlfn.CHISQ.INV.RT($E$4,A77)</f>
        <v>44.037874126904725</v>
      </c>
      <c r="F77" s="18">
        <f>_xlfn.CHISQ.INV.RT($F$4,A77)</f>
        <v>47.341814720137002</v>
      </c>
      <c r="G77" s="18"/>
      <c r="H77" s="18">
        <f>_xlfn.CHISQ.INV.RT($H$4,A77)</f>
        <v>75.514089459899182</v>
      </c>
      <c r="I77" s="18">
        <f>_xlfn.CHISQ.INV.RT($I$4,A77)</f>
        <v>80.23209784876272</v>
      </c>
      <c r="J77" s="18">
        <f>_xlfn.CHISQ.INV.RT($J$4,A77)</f>
        <v>84.476437442809072</v>
      </c>
      <c r="K77" s="18">
        <f>_xlfn.CHISQ.INV.RT($K$4,A77)</f>
        <v>89.59134449068705</v>
      </c>
      <c r="L77" s="19">
        <f>_xlfn.CHISQ.INV.RT($L$4,A77)</f>
        <v>93.186135314089086</v>
      </c>
    </row>
    <row r="78" spans="1:12" x14ac:dyDescent="0.25">
      <c r="A78" s="25">
        <v>62</v>
      </c>
      <c r="B78" s="18">
        <f>_xlfn.CHISQ.INV.RT($B$4,A78)</f>
        <v>37.068415367700908</v>
      </c>
      <c r="C78" s="18">
        <f>_xlfn.CHISQ.INV.RT($C$4,A78)</f>
        <v>39.063333195051818</v>
      </c>
      <c r="D78" s="18">
        <f>_xlfn.CHISQ.INV.RT($D$4,A78)</f>
        <v>42.125991958283699</v>
      </c>
      <c r="E78" s="18">
        <f>_xlfn.CHISQ.INV.RT($E$4,A78)</f>
        <v>44.889023564250238</v>
      </c>
      <c r="F78" s="18">
        <f>_xlfn.CHISQ.INV.RT($F$4,A78)</f>
        <v>48.225706000472357</v>
      </c>
      <c r="G78" s="18"/>
      <c r="H78" s="18">
        <f>_xlfn.CHISQ.INV.RT($H$4,A78)</f>
        <v>76.630208004487741</v>
      </c>
      <c r="I78" s="18">
        <f>_xlfn.CHISQ.INV.RT($I$4,A78)</f>
        <v>81.381015188899099</v>
      </c>
      <c r="J78" s="18">
        <f>_xlfn.CHISQ.INV.RT($J$4,A78)</f>
        <v>85.653730789615338</v>
      </c>
      <c r="K78" s="18">
        <f>_xlfn.CHISQ.INV.RT($K$4,A78)</f>
        <v>90.801532030838686</v>
      </c>
      <c r="L78" s="19">
        <f>_xlfn.CHISQ.INV.RT($L$4,A78)</f>
        <v>94.418652947874463</v>
      </c>
    </row>
    <row r="79" spans="1:12" x14ac:dyDescent="0.25">
      <c r="A79" s="25">
        <v>63</v>
      </c>
      <c r="B79" s="18">
        <f>_xlfn.CHISQ.INV.RT($B$4,A79)</f>
        <v>37.83818925967622</v>
      </c>
      <c r="C79" s="18">
        <f>_xlfn.CHISQ.INV.RT($C$4,A79)</f>
        <v>39.85512470928338</v>
      </c>
      <c r="D79" s="18">
        <f>_xlfn.CHISQ.INV.RT($D$4,A79)</f>
        <v>42.950274875499026</v>
      </c>
      <c r="E79" s="18">
        <f>_xlfn.CHISQ.INV.RT($E$4,A79)</f>
        <v>45.741376841650343</v>
      </c>
      <c r="F79" s="18">
        <f>_xlfn.CHISQ.INV.RT($F$4,A79)</f>
        <v>49.110538675000782</v>
      </c>
      <c r="G79" s="18"/>
      <c r="H79" s="18">
        <f>_xlfn.CHISQ.INV.RT($H$4,A79)</f>
        <v>77.745384835694892</v>
      </c>
      <c r="I79" s="18">
        <f>_xlfn.CHISQ.INV.RT($I$4,A79)</f>
        <v>82.528726541471798</v>
      </c>
      <c r="J79" s="18">
        <f>_xlfn.CHISQ.INV.RT($J$4,A79)</f>
        <v>86.829590567286118</v>
      </c>
      <c r="K79" s="18">
        <f>_xlfn.CHISQ.INV.RT($K$4,A79)</f>
        <v>92.010023614131995</v>
      </c>
      <c r="L79" s="19">
        <f>_xlfn.CHISQ.INV.RT($L$4,A79)</f>
        <v>95.64929748052846</v>
      </c>
    </row>
    <row r="80" spans="1:12" x14ac:dyDescent="0.25">
      <c r="A80" s="25">
        <v>64</v>
      </c>
      <c r="B80" s="18">
        <f>_xlfn.CHISQ.INV.RT($B$4,A80)</f>
        <v>38.609778486537238</v>
      </c>
      <c r="C80" s="18">
        <f>_xlfn.CHISQ.INV.RT($C$4,A80)</f>
        <v>40.648562828972487</v>
      </c>
      <c r="D80" s="18">
        <f>_xlfn.CHISQ.INV.RT($D$4,A80)</f>
        <v>43.775952622569129</v>
      </c>
      <c r="E80" s="18">
        <f>_xlfn.CHISQ.INV.RT($E$4,A80)</f>
        <v>46.594905224813971</v>
      </c>
      <c r="F80" s="18">
        <f>_xlfn.CHISQ.INV.RT($F$4,A80)</f>
        <v>49.996290213437661</v>
      </c>
      <c r="G80" s="18"/>
      <c r="H80" s="18">
        <f>_xlfn.CHISQ.INV.RT($H$4,A80)</f>
        <v>78.859642499111601</v>
      </c>
      <c r="I80" s="18">
        <f>_xlfn.CHISQ.INV.RT($I$4,A80)</f>
        <v>83.67526074272098</v>
      </c>
      <c r="J80" s="18">
        <f>_xlfn.CHISQ.INV.RT($J$4,A80)</f>
        <v>88.004051006497519</v>
      </c>
      <c r="K80" s="18">
        <f>_xlfn.CHISQ.INV.RT($K$4,A80)</f>
        <v>93.216859660238413</v>
      </c>
      <c r="L80" s="19">
        <f>_xlfn.CHISQ.INV.RT($L$4,A80)</f>
        <v>96.878113489517929</v>
      </c>
    </row>
    <row r="81" spans="1:12" x14ac:dyDescent="0.25">
      <c r="A81" s="25">
        <v>65</v>
      </c>
      <c r="B81" s="18">
        <f>_xlfn.CHISQ.INV.RT($B$4,A81)</f>
        <v>39.383140825916527</v>
      </c>
      <c r="C81" s="18">
        <f>_xlfn.CHISQ.INV.RT($C$4,A81)</f>
        <v>41.443609131472805</v>
      </c>
      <c r="D81" s="18">
        <f>_xlfn.CHISQ.INV.RT($D$4,A81)</f>
        <v>44.602992520329281</v>
      </c>
      <c r="E81" s="18">
        <f>_xlfn.CHISQ.INV.RT($E$4,A81)</f>
        <v>47.44958110432794</v>
      </c>
      <c r="F81" s="18">
        <f>_xlfn.CHISQ.INV.RT($F$4,A81)</f>
        <v>50.882938969988444</v>
      </c>
      <c r="G81" s="18"/>
      <c r="H81" s="18">
        <f>_xlfn.CHISQ.INV.RT($H$4,A81)</f>
        <v>79.973002654875458</v>
      </c>
      <c r="I81" s="18">
        <f>_xlfn.CHISQ.INV.RT($I$4,A81)</f>
        <v>84.82064549765667</v>
      </c>
      <c r="J81" s="18">
        <f>_xlfn.CHISQ.INV.RT($J$4,A81)</f>
        <v>89.177144996756184</v>
      </c>
      <c r="K81" s="18">
        <f>_xlfn.CHISQ.INV.RT($K$4,A81)</f>
        <v>94.422079007885031</v>
      </c>
      <c r="L81" s="19">
        <f>_xlfn.CHISQ.INV.RT($L$4,A81)</f>
        <v>98.105143811009427</v>
      </c>
    </row>
    <row r="82" spans="1:12" x14ac:dyDescent="0.25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/>
    </row>
    <row r="83" spans="1:12" x14ac:dyDescent="0.25">
      <c r="A83" s="25">
        <v>66</v>
      </c>
      <c r="B83" s="18">
        <f>_xlfn.CHISQ.INV.RT($B$4,A83)</f>
        <v>40.158235665452338</v>
      </c>
      <c r="C83" s="18">
        <f>_xlfn.CHISQ.INV.RT($C$4,A83)</f>
        <v>42.240226664378078</v>
      </c>
      <c r="D83" s="18">
        <f>_xlfn.CHISQ.INV.RT($D$4,A83)</f>
        <v>45.431363145459684</v>
      </c>
      <c r="E83" s="18">
        <f>_xlfn.CHISQ.INV.RT($E$4,A83)</f>
        <v>48.305377934971759</v>
      </c>
      <c r="F83" s="18">
        <f>_xlfn.CHISQ.INV.RT($F$4,A83)</f>
        <v>51.770464135492311</v>
      </c>
      <c r="G83" s="18"/>
      <c r="H83" s="18">
        <f>_xlfn.CHISQ.INV.RT($H$4,A83)</f>
        <v>81.085486125601648</v>
      </c>
      <c r="I83" s="18">
        <f>_xlfn.CHISQ.INV.RT($I$4,A83)</f>
        <v>85.964907441230949</v>
      </c>
      <c r="J83" s="18">
        <f>_xlfn.CHISQ.INV.RT($J$4,A83)</f>
        <v>90.348904158840924</v>
      </c>
      <c r="K83" s="18">
        <f>_xlfn.CHISQ.INV.RT($K$4,A83)</f>
        <v>95.625719000112895</v>
      </c>
      <c r="L83" s="19">
        <f>_xlfn.CHISQ.INV.RT($L$4,A83)</f>
        <v>99.330429633663158</v>
      </c>
    </row>
    <row r="84" spans="1:12" x14ac:dyDescent="0.25">
      <c r="A84" s="25">
        <v>67</v>
      </c>
      <c r="B84" s="18">
        <f>_xlfn.CHISQ.INV.RT($B$4,A84)</f>
        <v>40.935023918214256</v>
      </c>
      <c r="C84" s="18">
        <f>_xlfn.CHISQ.INV.RT($C$4,A84)</f>
        <v>43.038379868002728</v>
      </c>
      <c r="D84" s="18">
        <f>_xlfn.CHISQ.INV.RT($D$4,A84)</f>
        <v>46.261034263970039</v>
      </c>
      <c r="E84" s="18">
        <f>_xlfn.CHISQ.INV.RT($E$4,A84)</f>
        <v>49.162270179176815</v>
      </c>
      <c r="F84" s="18">
        <f>_xlfn.CHISQ.INV.RT($F$4,A84)</f>
        <v>52.65884569284394</v>
      </c>
      <c r="G84" s="18"/>
      <c r="H84" s="18">
        <f>_xlfn.CHISQ.INV.RT($H$4,A84)</f>
        <v>82.19711294102899</v>
      </c>
      <c r="I84" s="18">
        <f>_xlfn.CHISQ.INV.RT($I$4,A84)</f>
        <v>87.108072195321924</v>
      </c>
      <c r="J84" s="18">
        <f>_xlfn.CHISQ.INV.RT($J$4,A84)</f>
        <v>91.519358912289533</v>
      </c>
      <c r="K84" s="18">
        <f>_xlfn.CHISQ.INV.RT($K$4,A84)</f>
        <v>96.827815563712321</v>
      </c>
      <c r="L84" s="19">
        <f>_xlfn.CHISQ.INV.RT($L$4,A84)</f>
        <v>100.5540105860281</v>
      </c>
    </row>
    <row r="85" spans="1:12" x14ac:dyDescent="0.25">
      <c r="A85" s="25">
        <v>68</v>
      </c>
      <c r="B85" s="18">
        <f>_xlfn.CHISQ.INV.RT($B$4,A85)</f>
        <v>41.713467943750686</v>
      </c>
      <c r="C85" s="18">
        <f>_xlfn.CHISQ.INV.RT($C$4,A85)</f>
        <v>43.838034503035772</v>
      </c>
      <c r="D85" s="18">
        <f>_xlfn.CHISQ.INV.RT($D$4,A85)</f>
        <v>47.091976769144551</v>
      </c>
      <c r="E85" s="18">
        <f>_xlfn.CHISQ.INV.RT($E$4,A85)</f>
        <v>50.020233254289273</v>
      </c>
      <c r="F85" s="18">
        <f>_xlfn.CHISQ.INV.RT($F$4,A85)</f>
        <v>53.548064375423102</v>
      </c>
      <c r="G85" s="18"/>
      <c r="H85" s="18">
        <f>_xlfn.CHISQ.INV.RT($H$4,A85)</f>
        <v>83.307902379651907</v>
      </c>
      <c r="I85" s="18">
        <f>_xlfn.CHISQ.INV.RT($I$4,A85)</f>
        <v>88.250164421874132</v>
      </c>
      <c r="J85" s="18">
        <f>_xlfn.CHISQ.INV.RT($J$4,A85)</f>
        <v>92.688538538338562</v>
      </c>
      <c r="K85" s="18">
        <f>_xlfn.CHISQ.INV.RT($K$4,A85)</f>
        <v>98.028403283314091</v>
      </c>
      <c r="L85" s="19">
        <f>_xlfn.CHISQ.INV.RT($L$4,A85)</f>
        <v>101.77592481806387</v>
      </c>
    </row>
    <row r="86" spans="1:12" x14ac:dyDescent="0.25">
      <c r="A86" s="25">
        <v>69</v>
      </c>
      <c r="B86" s="18">
        <f>_xlfn.CHISQ.INV.RT($B$4,A86)</f>
        <v>42.49353147430952</v>
      </c>
      <c r="C86" s="18">
        <f>_xlfn.CHISQ.INV.RT($C$4,A86)</f>
        <v>44.639157582953032</v>
      </c>
      <c r="D86" s="18">
        <f>_xlfn.CHISQ.INV.RT($D$4,A86)</f>
        <v>47.924162623586895</v>
      </c>
      <c r="E86" s="18">
        <f>_xlfn.CHISQ.INV.RT($E$4,A86)</f>
        <v>50.879243483328644</v>
      </c>
      <c r="F86" s="18">
        <f>_xlfn.CHISQ.INV.RT($F$4,A86)</f>
        <v>54.438101628287804</v>
      </c>
      <c r="G86" s="18"/>
      <c r="H86" s="18">
        <f>_xlfn.CHISQ.INV.RT($H$4,A86)</f>
        <v>84.417873007583594</v>
      </c>
      <c r="I86" s="18">
        <f>_xlfn.CHISQ.INV.RT($I$4,A86)</f>
        <v>89.391207872507977</v>
      </c>
      <c r="J86" s="18">
        <f>_xlfn.CHISQ.INV.RT($J$4,A86)</f>
        <v>93.856471238685401</v>
      </c>
      <c r="K86" s="18">
        <f>_xlfn.CHISQ.INV.RT($K$4,A86)</f>
        <v>99.227515470569486</v>
      </c>
      <c r="L86" s="19">
        <f>_xlfn.CHISQ.INV.RT($L$4,A86)</f>
        <v>102.99620907726479</v>
      </c>
    </row>
    <row r="87" spans="1:12" x14ac:dyDescent="0.25">
      <c r="A87" s="25">
        <v>70</v>
      </c>
      <c r="B87" s="18">
        <f>_xlfn.CHISQ.INV.RT($B$4,A87)</f>
        <v>43.275179545823477</v>
      </c>
      <c r="C87" s="18">
        <f>_xlfn.CHISQ.INV.RT($C$4,A87)</f>
        <v>45.441717310810553</v>
      </c>
      <c r="D87" s="18">
        <f>_xlfn.CHISQ.INV.RT($D$4,A87)</f>
        <v>48.757564805039515</v>
      </c>
      <c r="E87" s="18">
        <f>_xlfn.CHISQ.INV.RT($E$4,A87)</f>
        <v>51.739278048962916</v>
      </c>
      <c r="F87" s="18">
        <f>_xlfn.CHISQ.INV.RT($F$4,A87)</f>
        <v>55.328939571909629</v>
      </c>
      <c r="G87" s="18"/>
      <c r="H87" s="18">
        <f>_xlfn.CHISQ.INV.RT($H$4,A87)</f>
        <v>85.527042714871882</v>
      </c>
      <c r="I87" s="18">
        <f>_xlfn.CHISQ.INV.RT($I$4,A87)</f>
        <v>90.531225434880668</v>
      </c>
      <c r="J87" s="18">
        <f>_xlfn.CHISQ.INV.RT($J$4,A87)</f>
        <v>95.023184190406198</v>
      </c>
      <c r="K87" s="18">
        <f>_xlfn.CHISQ.INV.RT($K$4,A87)</f>
        <v>100.42518422881135</v>
      </c>
      <c r="L87" s="19">
        <f>_xlfn.CHISQ.INV.RT($L$4,A87)</f>
        <v>104.21489877981666</v>
      </c>
    </row>
    <row r="88" spans="1:12" x14ac:dyDescent="0.25">
      <c r="A88" s="2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9"/>
    </row>
    <row r="89" spans="1:12" x14ac:dyDescent="0.25">
      <c r="A89" s="25">
        <v>71</v>
      </c>
      <c r="B89" s="18">
        <f>_xlfn.CHISQ.INV.RT($B$4,A89)</f>
        <v>44.058378433289356</v>
      </c>
      <c r="C89" s="18">
        <f>_xlfn.CHISQ.INV.RT($C$4,A89)</f>
        <v>46.245683020077387</v>
      </c>
      <c r="D89" s="18">
        <f>_xlfn.CHISQ.INV.RT($D$4,A89)</f>
        <v>49.592157255680625</v>
      </c>
      <c r="E89" s="18">
        <f>_xlfn.CHISQ.INV.RT($E$4,A89)</f>
        <v>52.600314950447242</v>
      </c>
      <c r="F89" s="18">
        <f>_xlfn.CHISQ.INV.RT($F$4,A89)</f>
        <v>56.220560968250624</v>
      </c>
      <c r="G89" s="18"/>
      <c r="H89" s="18">
        <f>_xlfn.CHISQ.INV.RT($H$4,A89)</f>
        <v>86.635428749469213</v>
      </c>
      <c r="I89" s="18">
        <f>_xlfn.CHISQ.INV.RT($I$4,A89)</f>
        <v>91.670239176054849</v>
      </c>
      <c r="J89" s="18">
        <f>_xlfn.CHISQ.INV.RT($J$4,A89)</f>
        <v>96.188703597333216</v>
      </c>
      <c r="K89" s="18">
        <f>_xlfn.CHISQ.INV.RT($K$4,A89)</f>
        <v>101.62144051355199</v>
      </c>
      <c r="L89" s="19">
        <f>_xlfn.CHISQ.INV.RT($L$4,A89)</f>
        <v>105.43202807717705</v>
      </c>
    </row>
    <row r="90" spans="1:12" x14ac:dyDescent="0.25">
      <c r="A90" s="25">
        <v>72</v>
      </c>
      <c r="B90" s="18">
        <f>_xlfn.CHISQ.INV.RT($B$4,A90)</f>
        <v>44.843095590205358</v>
      </c>
      <c r="C90" s="18">
        <f>_xlfn.CHISQ.INV.RT($C$4,A90)</f>
        <v>47.051025119196964</v>
      </c>
      <c r="D90" s="18">
        <f>_xlfn.CHISQ.INV.RT($D$4,A90)</f>
        <v>50.427914834630464</v>
      </c>
      <c r="E90" s="18">
        <f>_xlfn.CHISQ.INV.RT($E$4,A90)</f>
        <v>53.462332963296213</v>
      </c>
      <c r="F90" s="18">
        <f>_xlfn.CHISQ.INV.RT($F$4,A90)</f>
        <v>57.112949188999785</v>
      </c>
      <c r="G90" s="18"/>
      <c r="H90" s="18">
        <f>_xlfn.CHISQ.INV.RT($H$4,A90)</f>
        <v>87.743047749039036</v>
      </c>
      <c r="I90" s="18">
        <f>_xlfn.CHISQ.INV.RT($I$4,A90)</f>
        <v>92.808270383107711</v>
      </c>
      <c r="J90" s="18">
        <f>_xlfn.CHISQ.INV.RT($J$4,A90)</f>
        <v>97.353054738166136</v>
      </c>
      <c r="K90" s="18">
        <f>_xlfn.CHISQ.INV.RT($K$4,A90)</f>
        <v>102.8163141891407</v>
      </c>
      <c r="L90" s="19">
        <f>_xlfn.CHISQ.INV.RT($L$4,A90)</f>
        <v>106.64762991843349</v>
      </c>
    </row>
    <row r="91" spans="1:12" x14ac:dyDescent="0.25">
      <c r="A91" s="25">
        <v>73</v>
      </c>
      <c r="B91" s="18">
        <f>_xlfn.CHISQ.INV.RT($B$4,A91)</f>
        <v>45.629299591758496</v>
      </c>
      <c r="C91" s="18">
        <f>_xlfn.CHISQ.INV.RT($C$4,A91)</f>
        <v>47.857715039593508</v>
      </c>
      <c r="D91" s="18">
        <f>_xlfn.CHISQ.INV.RT($D$4,A91)</f>
        <v>51.264813273421822</v>
      </c>
      <c r="E91" s="18">
        <f>_xlfn.CHISQ.INV.RT($E$4,A91)</f>
        <v>54.325311601480692</v>
      </c>
      <c r="F91" s="18">
        <f>_xlfn.CHISQ.INV.RT($F$4,A91)</f>
        <v>58.006088185803172</v>
      </c>
      <c r="G91" s="18"/>
      <c r="H91" s="18">
        <f>_xlfn.CHISQ.INV.RT($H$4,A91)</f>
        <v>88.849915770764937</v>
      </c>
      <c r="I91" s="18">
        <f>_xlfn.CHISQ.INV.RT($I$4,A91)</f>
        <v>93.945339601192245</v>
      </c>
      <c r="J91" s="18">
        <f>_xlfn.CHISQ.INV.RT($J$4,A91)</f>
        <v>98.516262011567818</v>
      </c>
      <c r="K91" s="18">
        <f>_xlfn.CHISQ.INV.RT($K$4,A91)</f>
        <v>104.00983408187498</v>
      </c>
      <c r="L91" s="19">
        <f>_xlfn.CHISQ.INV.RT($L$4,A91)</f>
        <v>107.8617361087628</v>
      </c>
    </row>
    <row r="92" spans="1:12" x14ac:dyDescent="0.25">
      <c r="A92" s="25">
        <v>74</v>
      </c>
      <c r="B92" s="18">
        <f>_xlfn.CHISQ.INV.RT($B$4,A92)</f>
        <v>46.416960081482799</v>
      </c>
      <c r="C92" s="18">
        <f>_xlfn.CHISQ.INV.RT($C$4,A92)</f>
        <v>48.665725186866204</v>
      </c>
      <c r="D92" s="18">
        <f>_xlfn.CHISQ.INV.RT($D$4,A92)</f>
        <v>52.102829134212058</v>
      </c>
      <c r="E92" s="18">
        <f>_xlfn.CHISQ.INV.RT($E$4,A92)</f>
        <v>55.18923108195871</v>
      </c>
      <c r="F92" s="18">
        <f>_xlfn.CHISQ.INV.RT($F$4,A92)</f>
        <v>58.899962462337108</v>
      </c>
      <c r="G92" s="18"/>
      <c r="H92" s="18">
        <f>_xlfn.CHISQ.INV.RT($H$4,A92)</f>
        <v>89.956048319313538</v>
      </c>
      <c r="I92" s="18">
        <f>_xlfn.CHISQ.INV.RT($I$4,A92)</f>
        <v>95.081466669243255</v>
      </c>
      <c r="J92" s="18">
        <f>_xlfn.CHISQ.INV.RT($J$4,A92)</f>
        <v>99.678348978472371</v>
      </c>
      <c r="K92" s="18">
        <f>_xlfn.CHISQ.INV.RT($K$4,A92)</f>
        <v>105.2020280298331</v>
      </c>
      <c r="L92" s="19">
        <f>_xlfn.CHISQ.INV.RT($L$4,A92)</f>
        <v>109.0743773642849</v>
      </c>
    </row>
    <row r="93" spans="1:12" x14ac:dyDescent="0.25">
      <c r="A93" s="25">
        <v>75</v>
      </c>
      <c r="B93" s="18">
        <f>_xlfn.CHISQ.INV.RT($B$4,A93)</f>
        <v>47.206047721132649</v>
      </c>
      <c r="C93" s="18">
        <f>_xlfn.CHISQ.INV.RT($C$4,A93)</f>
        <v>49.475028894935093</v>
      </c>
      <c r="D93" s="18">
        <f>_xlfn.CHISQ.INV.RT($D$4,A93)</f>
        <v>52.941939770532862</v>
      </c>
      <c r="E93" s="18">
        <f>_xlfn.CHISQ.INV.RT($E$4,A93)</f>
        <v>56.054072291366609</v>
      </c>
      <c r="F93" s="18">
        <f>_xlfn.CHISQ.INV.RT($F$4,A93)</f>
        <v>59.794557048086652</v>
      </c>
      <c r="G93" s="18"/>
      <c r="H93" s="18">
        <f>_xlfn.CHISQ.INV.RT($H$4,A93)</f>
        <v>91.061460373088977</v>
      </c>
      <c r="I93" s="18">
        <f>_xlfn.CHISQ.INV.RT($I$4,A93)</f>
        <v>96.216670753503848</v>
      </c>
      <c r="J93" s="18">
        <f>_xlfn.CHISQ.INV.RT($J$4,A93)</f>
        <v>100.83933840181338</v>
      </c>
      <c r="K93" s="18">
        <f>_xlfn.CHISQ.INV.RT($K$4,A93)</f>
        <v>106.39292292967178</v>
      </c>
      <c r="L93" s="19">
        <f>_xlfn.CHISQ.INV.RT($L$4,A93)</f>
        <v>110.28558336357993</v>
      </c>
    </row>
    <row r="94" spans="1:12" x14ac:dyDescent="0.25">
      <c r="A94" s="2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/>
    </row>
    <row r="95" spans="1:12" x14ac:dyDescent="0.25">
      <c r="A95" s="25">
        <v>76</v>
      </c>
      <c r="B95" s="18">
        <f>_xlfn.CHISQ.INV.RT($B$4,A95)</f>
        <v>47.996534143538078</v>
      </c>
      <c r="C95" s="18">
        <f>_xlfn.CHISQ.INV.RT($C$4,A95)</f>
        <v>50.285600382923782</v>
      </c>
      <c r="D95" s="18">
        <f>_xlfn.CHISQ.INV.RT($D$4,A95)</f>
        <v>53.782123290392285</v>
      </c>
      <c r="E95" s="18">
        <f>_xlfn.CHISQ.INV.RT($E$4,A95)</f>
        <v>56.919816754711988</v>
      </c>
      <c r="F95" s="18">
        <f>_xlfn.CHISQ.INV.RT($F$4,A95)</f>
        <v>60.689857473704059</v>
      </c>
      <c r="G95" s="18"/>
      <c r="H95" s="18">
        <f>_xlfn.CHISQ.INV.RT($H$4,A95)</f>
        <v>92.166166408904999</v>
      </c>
      <c r="I95" s="18">
        <f>_xlfn.CHISQ.INV.RT($I$4,A95)</f>
        <v>97.350970379032972</v>
      </c>
      <c r="J95" s="18">
        <f>_xlfn.CHISQ.INV.RT($J$4,A95)</f>
        <v>101.99925228386167</v>
      </c>
      <c r="K95" s="18">
        <f>_xlfn.CHISQ.INV.RT($K$4,A95)</f>
        <v>107.58254478061227</v>
      </c>
      <c r="L95" s="19">
        <f>_xlfn.CHISQ.INV.RT($L$4,A95)</f>
        <v>111.49538279611284</v>
      </c>
    </row>
    <row r="96" spans="1:12" x14ac:dyDescent="0.25">
      <c r="A96" s="25">
        <v>77</v>
      </c>
      <c r="B96" s="18">
        <f>_xlfn.CHISQ.INV.RT($B$4,A96)</f>
        <v>48.788391908227823</v>
      </c>
      <c r="C96" s="18">
        <f>_xlfn.CHISQ.INV.RT($C$4,A96)</f>
        <v>51.097414714581674</v>
      </c>
      <c r="D96" s="18">
        <f>_xlfn.CHISQ.INV.RT($D$4,A96)</f>
        <v>54.623358521559034</v>
      </c>
      <c r="E96" s="18">
        <f>_xlfn.CHISQ.INV.RT($E$4,A96)</f>
        <v>57.786446605923182</v>
      </c>
      <c r="F96" s="18">
        <f>_xlfn.CHISQ.INV.RT($F$4,A96)</f>
        <v>61.585849747832107</v>
      </c>
      <c r="G96" s="18"/>
      <c r="H96" s="18">
        <f>_xlfn.CHISQ.INV.RT($H$4,A96)</f>
        <v>93.270180425189608</v>
      </c>
      <c r="I96" s="18">
        <f>_xlfn.CHISQ.INV.RT($I$4,A96)</f>
        <v>98.484383459340435</v>
      </c>
      <c r="J96" s="18">
        <f>_xlfn.CHISQ.INV.RT($J$4,A96)</f>
        <v>103.1581119013466</v>
      </c>
      <c r="K96" s="18">
        <f>_xlfn.CHISQ.INV.RT($K$4,A96)</f>
        <v>108.77091872581831</v>
      </c>
      <c r="L96" s="19">
        <f>_xlfn.CHISQ.INV.RT($L$4,A96)</f>
        <v>112.70380340778991</v>
      </c>
    </row>
    <row r="97" spans="1:12" x14ac:dyDescent="0.25">
      <c r="A97" s="25">
        <v>78</v>
      </c>
      <c r="B97" s="18">
        <f>_xlfn.CHISQ.INV.RT($B$4,A97)</f>
        <v>49.581594459624213</v>
      </c>
      <c r="C97" s="18">
        <f>_xlfn.CHISQ.INV.RT($C$4,A97)</f>
        <v>51.91044776006612</v>
      </c>
      <c r="D97" s="18">
        <f>_xlfn.CHISQ.INV.RT($D$4,A97)</f>
        <v>55.46562497887296</v>
      </c>
      <c r="E97" s="18">
        <f>_xlfn.CHISQ.INV.RT($E$4,A97)</f>
        <v>58.653944560122618</v>
      </c>
      <c r="F97" s="18">
        <f>_xlfn.CHISQ.INV.RT($F$4,A97)</f>
        <v>62.482520335287539</v>
      </c>
      <c r="G97" s="18"/>
      <c r="H97" s="18">
        <f>_xlfn.CHISQ.INV.RT($H$4,A97)</f>
        <v>94.373515963827359</v>
      </c>
      <c r="I97" s="18">
        <f>_xlfn.CHISQ.INV.RT($I$4,A97)</f>
        <v>99.61692732428385</v>
      </c>
      <c r="J97" s="18">
        <f>_xlfn.CHISQ.INV.RT($J$4,A97)</f>
        <v>104.31593783851922</v>
      </c>
      <c r="K97" s="18">
        <f>_xlfn.CHISQ.INV.RT($K$4,A97)</f>
        <v>109.95806909135277</v>
      </c>
      <c r="L97" s="19">
        <f>_xlfn.CHISQ.INV.RT($L$4,A97)</f>
        <v>113.91087204385187</v>
      </c>
    </row>
    <row r="98" spans="1:12" x14ac:dyDescent="0.25">
      <c r="A98" s="25">
        <v>79</v>
      </c>
      <c r="B98" s="18">
        <f>_xlfn.CHISQ.INV.RT($B$4,A98)</f>
        <v>50.376116087630557</v>
      </c>
      <c r="C98" s="18">
        <f>_xlfn.CHISQ.INV.RT($C$4,A98)</f>
        <v>52.724676159917806</v>
      </c>
      <c r="D98" s="18">
        <f>_xlfn.CHISQ.INV.RT($D$4,A98)</f>
        <v>56.30890283343966</v>
      </c>
      <c r="E98" s="18">
        <f>_xlfn.CHISQ.INV.RT($E$4,A98)</f>
        <v>59.522293887502265</v>
      </c>
      <c r="F98" s="18">
        <f>_xlfn.CHISQ.INV.RT($F$4,A98)</f>
        <v>63.379856136508117</v>
      </c>
      <c r="G98" s="18"/>
      <c r="H98" s="18">
        <f>_xlfn.CHISQ.INV.RT($H$4,A98)</f>
        <v>95.476186130736224</v>
      </c>
      <c r="I98" s="18">
        <f>_xlfn.CHISQ.INV.RT($I$4,A98)</f>
        <v>100.74861874635033</v>
      </c>
      <c r="J98" s="18">
        <f>_xlfn.CHISQ.INV.RT($J$4,A98)</f>
        <v>105.47275001830305</v>
      </c>
      <c r="K98" s="18">
        <f>_xlfn.CHISQ.INV.RT($K$4,A98)</f>
        <v>111.14401942288377</v>
      </c>
      <c r="L98" s="19">
        <f>_xlfn.CHISQ.INV.RT($L$4,A98)</f>
        <v>115.11661468929165</v>
      </c>
    </row>
    <row r="99" spans="1:12" x14ac:dyDescent="0.25">
      <c r="A99" s="25">
        <v>80</v>
      </c>
      <c r="B99" s="18">
        <f>_xlfn.CHISQ.INV.RT($B$4,A99)</f>
        <v>51.171931890445215</v>
      </c>
      <c r="C99" s="18">
        <f>_xlfn.CHISQ.INV.RT($C$4,A99)</f>
        <v>53.540077291078717</v>
      </c>
      <c r="D99" s="18">
        <f>_xlfn.CHISQ.INV.RT($D$4,A99)</f>
        <v>57.153172883577938</v>
      </c>
      <c r="E99" s="18">
        <f>_xlfn.CHISQ.INV.RT($E$4,A99)</f>
        <v>60.391478388689464</v>
      </c>
      <c r="F99" s="18">
        <f>_xlfn.CHISQ.INV.RT($F$4,A99)</f>
        <v>64.277844468175147</v>
      </c>
      <c r="G99" s="18"/>
      <c r="H99" s="18">
        <f>_xlfn.CHISQ.INV.RT($H$4,A99)</f>
        <v>96.578203615267014</v>
      </c>
      <c r="I99" s="18">
        <f>_xlfn.CHISQ.INV.RT($I$4,A99)</f>
        <v>101.87947396543588</v>
      </c>
      <c r="J99" s="18">
        <f>_xlfn.CHISQ.INV.RT($J$4,A99)</f>
        <v>106.62856773166573</v>
      </c>
      <c r="K99" s="18">
        <f>_xlfn.CHISQ.INV.RT($K$4,A99)</f>
        <v>112.32879252029733</v>
      </c>
      <c r="L99" s="19">
        <f>_xlfn.CHISQ.INV.RT($L$4,A99)</f>
        <v>116.32105650696917</v>
      </c>
    </row>
    <row r="100" spans="1:12" x14ac:dyDescent="0.25">
      <c r="A100" s="25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/>
    </row>
    <row r="101" spans="1:12" x14ac:dyDescent="0.25">
      <c r="A101" s="25">
        <v>81</v>
      </c>
      <c r="B101" s="18">
        <f>_xlfn.CHISQ.INV.RT($B$4,A101)</f>
        <v>51.96901773945126</v>
      </c>
      <c r="C101" s="18">
        <f>_xlfn.CHISQ.INV.RT($C$4,A101)</f>
        <v>54.356629234812289</v>
      </c>
      <c r="D101" s="18">
        <f>_xlfn.CHISQ.INV.RT($D$4,A101)</f>
        <v>57.998416527399449</v>
      </c>
      <c r="E101" s="18">
        <f>_xlfn.CHISQ.INV.RT($E$4,A101)</f>
        <v>61.261482371500676</v>
      </c>
      <c r="F101" s="18">
        <f>_xlfn.CHISQ.INV.RT($F$4,A101)</f>
        <v>65.176473044930148</v>
      </c>
      <c r="G101" s="18"/>
      <c r="H101" s="18">
        <f>_xlfn.CHISQ.INV.RT($H$4,A101)</f>
        <v>97.679580708507032</v>
      </c>
      <c r="I101" s="18">
        <f>_xlfn.CHISQ.INV.RT($I$4,A101)</f>
        <v>103.00950871222618</v>
      </c>
      <c r="J101" s="18">
        <f>_xlfn.CHISQ.INV.RT($J$4,A101)</f>
        <v>107.78340966533453</v>
      </c>
      <c r="K101" s="18">
        <f>_xlfn.CHISQ.INV.RT($K$4,A101)</f>
        <v>113.51241047036055</v>
      </c>
      <c r="L101" s="19">
        <f>_xlfn.CHISQ.INV.RT($L$4,A101)</f>
        <v>117.52422187358147</v>
      </c>
    </row>
    <row r="102" spans="1:12" x14ac:dyDescent="0.25">
      <c r="A102" s="25">
        <v>82</v>
      </c>
      <c r="B102" s="18">
        <f>_xlfn.CHISQ.INV.RT($B$4,A102)</f>
        <v>52.767350246041858</v>
      </c>
      <c r="C102" s="18">
        <f>_xlfn.CHISQ.INV.RT($C$4,A102)</f>
        <v>55.174310746397268</v>
      </c>
      <c r="D102" s="18">
        <f>_xlfn.CHISQ.INV.RT($D$4,A102)</f>
        <v>58.844615736910562</v>
      </c>
      <c r="E102" s="18">
        <f>_xlfn.CHISQ.INV.RT($E$4,A102)</f>
        <v>62.132290628988528</v>
      </c>
      <c r="F102" s="18">
        <f>_xlfn.CHISQ.INV.RT($F$4,A102)</f>
        <v>66.075729962111296</v>
      </c>
      <c r="G102" s="18"/>
      <c r="H102" s="18">
        <f>_xlfn.CHISQ.INV.RT($H$4,A102)</f>
        <v>98.780329320562501</v>
      </c>
      <c r="I102" s="18">
        <f>_xlfn.CHISQ.INV.RT($I$4,A102)</f>
        <v>104.13873823027387</v>
      </c>
      <c r="J102" s="18">
        <f>_xlfn.CHISQ.INV.RT($J$4,A102)</f>
        <v>108.93729392796816</v>
      </c>
      <c r="K102" s="18">
        <f>_xlfn.CHISQ.INV.RT($K$4,A102)</f>
        <v>114.69489467756803</v>
      </c>
      <c r="L102" s="19">
        <f>_xlfn.CHISQ.INV.RT($L$4,A102)</f>
        <v>118.72613441363416</v>
      </c>
    </row>
    <row r="103" spans="1:12" x14ac:dyDescent="0.25">
      <c r="A103" s="25">
        <v>83</v>
      </c>
      <c r="B103" s="18">
        <f>_xlfn.CHISQ.INV.RT($B$4,A103)</f>
        <v>53.566906730252107</v>
      </c>
      <c r="C103" s="18">
        <f>_xlfn.CHISQ.INV.RT($C$4,A103)</f>
        <v>55.993101226477208</v>
      </c>
      <c r="D103" s="18">
        <f>_xlfn.CHISQ.INV.RT($D$4,A103)</f>
        <v>59.691753033533843</v>
      </c>
      <c r="E103" s="18">
        <f>_xlfn.CHISQ.INV.RT($E$4,A103)</f>
        <v>63.00388841869551</v>
      </c>
      <c r="F103" s="18">
        <f>_xlfn.CHISQ.INV.RT($F$4,A103)</f>
        <v>66.975603679440852</v>
      </c>
      <c r="G103" s="18"/>
      <c r="H103" s="18">
        <f>_xlfn.CHISQ.INV.RT($H$4,A103)</f>
        <v>99.88046099688853</v>
      </c>
      <c r="I103" s="18">
        <f>_xlfn.CHISQ.INV.RT($I$4,A103)</f>
        <v>105.26717729686034</v>
      </c>
      <c r="J103" s="18">
        <f>_xlfn.CHISQ.INV.RT($J$4,A103)</f>
        <v>110.09023807488876</v>
      </c>
      <c r="K103" s="18">
        <f>_xlfn.CHISQ.INV.RT($K$4,A103)</f>
        <v>115.87626589329335</v>
      </c>
      <c r="L103" s="19">
        <f>_xlfn.CHISQ.INV.RT($L$4,A103)</f>
        <v>119.92681703154778</v>
      </c>
    </row>
    <row r="104" spans="1:12" x14ac:dyDescent="0.25">
      <c r="A104" s="25">
        <v>84</v>
      </c>
      <c r="B104" s="18">
        <f>_xlfn.CHISQ.INV.RT($B$4,A104)</f>
        <v>54.367665191079048</v>
      </c>
      <c r="C104" s="18">
        <f>_xlfn.CHISQ.INV.RT($C$4,A104)</f>
        <v>56.812980693956497</v>
      </c>
      <c r="D104" s="18">
        <f>_xlfn.CHISQ.INV.RT($D$4,A104)</f>
        <v>60.539811464955399</v>
      </c>
      <c r="E104" s="18">
        <f>_xlfn.CHISQ.INV.RT($E$4,A104)</f>
        <v>63.876261443034167</v>
      </c>
      <c r="F104" s="18">
        <f>_xlfn.CHISQ.INV.RT($F$4,A104)</f>
        <v>67.876083005600336</v>
      </c>
      <c r="G104" s="18"/>
      <c r="H104" s="18">
        <f>_xlfn.CHISQ.INV.RT($H$4,A104)</f>
        <v>100.97998693373012</v>
      </c>
      <c r="I104" s="18">
        <f>_xlfn.CHISQ.INV.RT($I$4,A104)</f>
        <v>106.39484024272251</v>
      </c>
      <c r="J104" s="18">
        <f>_xlfn.CHISQ.INV.RT($J$4,A104)</f>
        <v>111.24225913146984</v>
      </c>
      <c r="K104" s="18">
        <f>_xlfn.CHISQ.INV.RT($K$4,A104)</f>
        <v>117.05654424335823</v>
      </c>
      <c r="L104" s="19">
        <f>_xlfn.CHISQ.INV.RT($L$4,A104)</f>
        <v>121.12629194202353</v>
      </c>
    </row>
    <row r="105" spans="1:12" x14ac:dyDescent="0.25">
      <c r="A105" s="25">
        <v>85</v>
      </c>
      <c r="B105" s="18">
        <f>_xlfn.CHISQ.INV.RT($B$4,A105)</f>
        <v>55.169604278380241</v>
      </c>
      <c r="C105" s="18">
        <f>_xlfn.CHISQ.INV.RT($C$4,A105)</f>
        <v>57.633929760341317</v>
      </c>
      <c r="D105" s="18">
        <f>_xlfn.CHISQ.INV.RT($D$4,A105)</f>
        <v>61.388774583211543</v>
      </c>
      <c r="E105" s="18">
        <f>_xlfn.CHISQ.INV.RT($E$4,A105)</f>
        <v>64.749395830720005</v>
      </c>
      <c r="F105" s="18">
        <f>_xlfn.CHISQ.INV.RT($F$4,A105)</f>
        <v>68.777157083635217</v>
      </c>
      <c r="G105" s="18"/>
      <c r="H105" s="18">
        <f>_xlfn.CHISQ.INV.RT($H$4,A105)</f>
        <v>102.0789179927325</v>
      </c>
      <c r="I105" s="18">
        <f>_xlfn.CHISQ.INV.RT($I$4,A105)</f>
        <v>107.52174097071946</v>
      </c>
      <c r="J105" s="18">
        <f>_xlfn.CHISQ.INV.RT($J$4,A105)</f>
        <v>112.39337361526815</v>
      </c>
      <c r="K105" s="18">
        <f>_xlfn.CHISQ.INV.RT($K$4,A105)</f>
        <v>118.23574925412318</v>
      </c>
      <c r="L105" s="19">
        <f>_xlfn.CHISQ.INV.RT($L$4,A105)</f>
        <v>122.3245806987813</v>
      </c>
    </row>
    <row r="106" spans="1:12" x14ac:dyDescent="0.25">
      <c r="A106" s="25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9"/>
    </row>
    <row r="107" spans="1:12" x14ac:dyDescent="0.25">
      <c r="A107" s="25">
        <v>86</v>
      </c>
      <c r="B107" s="18">
        <f>_xlfn.CHISQ.INV.RT($B$4,A107)</f>
        <v>55.972703266248892</v>
      </c>
      <c r="C107" s="18">
        <f>_xlfn.CHISQ.INV.RT($C$4,A107)</f>
        <v>58.455929605433951</v>
      </c>
      <c r="D107" s="18">
        <f>_xlfn.CHISQ.INV.RT($D$4,A107)</f>
        <v>62.23862642393437</v>
      </c>
      <c r="E107" s="18">
        <f>_xlfn.CHISQ.INV.RT($E$4,A107)</f>
        <v>65.62327811918864</v>
      </c>
      <c r="F107" s="18">
        <f>_xlfn.CHISQ.INV.RT($F$4,A107)</f>
        <v>69.678815377135038</v>
      </c>
      <c r="G107" s="18"/>
      <c r="H107" s="18">
        <f>_xlfn.CHISQ.INV.RT($H$4,A107)</f>
        <v>103.17726471477495</v>
      </c>
      <c r="I107" s="18">
        <f>_xlfn.CHISQ.INV.RT($I$4,A107)</f>
        <v>108.64789297350761</v>
      </c>
      <c r="J107" s="18">
        <f>_xlfn.CHISQ.INV.RT($J$4,A107)</f>
        <v>113.54359755698131</v>
      </c>
      <c r="K107" s="18">
        <f>_xlfn.CHISQ.INV.RT($K$4,A107)</f>
        <v>119.41389987719502</v>
      </c>
      <c r="L107" s="19">
        <f>_xlfn.CHISQ.INV.RT($L$4,A107)</f>
        <v>123.52170422177655</v>
      </c>
    </row>
    <row r="108" spans="1:12" x14ac:dyDescent="0.25">
      <c r="A108" s="25">
        <v>87</v>
      </c>
      <c r="B108" s="18">
        <f>_xlfn.CHISQ.INV.RT($B$4,A108)</f>
        <v>56.776942027773288</v>
      </c>
      <c r="C108" s="18">
        <f>_xlfn.CHISQ.INV.RT($C$4,A108)</f>
        <v>59.278961954292789</v>
      </c>
      <c r="D108" s="18">
        <f>_xlfn.CHISQ.INV.RT($D$4,A108)</f>
        <v>63.089351486682588</v>
      </c>
      <c r="E108" s="18">
        <f>_xlfn.CHISQ.INV.RT($E$4,A108)</f>
        <v>66.497895237934642</v>
      </c>
      <c r="F108" s="18">
        <f>_xlfn.CHISQ.INV.RT($F$4,A108)</f>
        <v>70.581047657139479</v>
      </c>
      <c r="G108" s="18"/>
      <c r="H108" s="18">
        <f>_xlfn.CHISQ.INV.RT($H$4,A108)</f>
        <v>104.27503733307769</v>
      </c>
      <c r="I108" s="18">
        <f>_xlfn.CHISQ.INV.RT($I$4,A108)</f>
        <v>109.77330935028796</v>
      </c>
      <c r="J108" s="18">
        <f>_xlfn.CHISQ.INV.RT($J$4,A108)</f>
        <v>114.69294652030611</v>
      </c>
      <c r="K108" s="18">
        <f>_xlfn.CHISQ.INV.RT($K$4,A108)</f>
        <v>120.59101451284054</v>
      </c>
      <c r="L108" s="19">
        <f>_xlfn.CHISQ.INV.RT($L$4,A108)</f>
        <v>124.71768282299236</v>
      </c>
    </row>
    <row r="109" spans="1:12" x14ac:dyDescent="0.25">
      <c r="A109" s="25">
        <v>88</v>
      </c>
      <c r="B109" s="18">
        <f>_xlfn.CHISQ.INV.RT($B$4,A109)</f>
        <v>57.582301011091225</v>
      </c>
      <c r="C109" s="18">
        <f>_xlfn.CHISQ.INV.RT($C$4,A109)</f>
        <v>60.103009055379403</v>
      </c>
      <c r="D109" s="18">
        <f>_xlfn.CHISQ.INV.RT($D$4,A109)</f>
        <v>63.940934716288659</v>
      </c>
      <c r="E109" s="18">
        <f>_xlfn.CHISQ.INV.RT($E$4,A109)</f>
        <v>67.373234492713166</v>
      </c>
      <c r="F109" s="18">
        <f>_xlfn.CHISQ.INV.RT($F$4,A109)</f>
        <v>71.483843989723923</v>
      </c>
      <c r="G109" s="18"/>
      <c r="H109" s="18">
        <f>_xlfn.CHISQ.INV.RT($H$4,A109)</f>
        <v>105.37224578562837</v>
      </c>
      <c r="I109" s="18">
        <f>_xlfn.CHISQ.INV.RT($I$4,A109)</f>
        <v>110.89800282268448</v>
      </c>
      <c r="J109" s="18">
        <f>_xlfn.CHISQ.INV.RT($J$4,A109)</f>
        <v>115.84143562076727</v>
      </c>
      <c r="K109" s="18">
        <f>_xlfn.CHISQ.INV.RT($K$4,A109)</f>
        <v>121.76711103218734</v>
      </c>
      <c r="L109" s="19">
        <f>_xlfn.CHISQ.INV.RT($L$4,A109)</f>
        <v>125.91253623089736</v>
      </c>
    </row>
    <row r="110" spans="1:12" x14ac:dyDescent="0.25">
      <c r="A110" s="25">
        <v>89</v>
      </c>
      <c r="B110" s="18">
        <f>_xlfn.CHISQ.INV.RT($B$4,A110)</f>
        <v>58.388761216662431</v>
      </c>
      <c r="C110" s="18">
        <f>_xlfn.CHISQ.INV.RT($C$4,A110)</f>
        <v>60.928053659818396</v>
      </c>
      <c r="D110" s="18">
        <f>_xlfn.CHISQ.INV.RT($D$4,A110)</f>
        <v>64.793361485159082</v>
      </c>
      <c r="E110" s="18">
        <f>_xlfn.CHISQ.INV.RT($E$4,A110)</f>
        <v>68.249283550550842</v>
      </c>
      <c r="F110" s="18">
        <f>_xlfn.CHISQ.INV.RT($F$4,A110)</f>
        <v>72.387194724222482</v>
      </c>
      <c r="G110" s="18"/>
      <c r="H110" s="18">
        <f>_xlfn.CHISQ.INV.RT($H$4,A110)</f>
        <v>106.46889972697032</v>
      </c>
      <c r="I110" s="18">
        <f>_xlfn.CHISQ.INV.RT($I$4,A110)</f>
        <v>112.02198574980787</v>
      </c>
      <c r="J110" s="18">
        <f>_xlfn.CHISQ.INV.RT($J$4,A110)</f>
        <v>116.98907954358141</v>
      </c>
      <c r="K110" s="18">
        <f>_xlfn.CHISQ.INV.RT($K$4,A110)</f>
        <v>122.94220679828861</v>
      </c>
      <c r="L110" s="19">
        <f>_xlfn.CHISQ.INV.RT($L$4,A110)</f>
        <v>127.10628361365266</v>
      </c>
    </row>
    <row r="111" spans="1:12" x14ac:dyDescent="0.25">
      <c r="A111" s="25">
        <v>90</v>
      </c>
      <c r="B111" s="18">
        <f>_xlfn.CHISQ.INV.RT($B$4,A111)</f>
        <v>59.196304175680602</v>
      </c>
      <c r="C111" s="18">
        <f>_xlfn.CHISQ.INV.RT($C$4,A111)</f>
        <v>61.754079001701427</v>
      </c>
      <c r="D111" s="18">
        <f>_xlfn.CHISQ.INV.RT($D$4,A111)</f>
        <v>65.646617576468913</v>
      </c>
      <c r="E111" s="18">
        <f>_xlfn.CHISQ.INV.RT($E$4,A111)</f>
        <v>69.126030425515538</v>
      </c>
      <c r="F111" s="18">
        <f>_xlfn.CHISQ.INV.RT($F$4,A111)</f>
        <v>73.291090482048205</v>
      </c>
      <c r="G111" s="18"/>
      <c r="H111" s="18">
        <f>_xlfn.CHISQ.INV.RT($H$4,A111)</f>
        <v>107.56500853939278</v>
      </c>
      <c r="I111" s="18">
        <f>_xlfn.CHISQ.INV.RT($I$4,A111)</f>
        <v>113.14527014255542</v>
      </c>
      <c r="J111" s="18">
        <f>_xlfn.CHISQ.INV.RT($J$4,A111)</f>
        <v>118.1358925606155</v>
      </c>
      <c r="K111" s="18">
        <f>_xlfn.CHISQ.INV.RT($K$4,A111)</f>
        <v>124.11631868612128</v>
      </c>
      <c r="L111" s="19">
        <f>_xlfn.CHISQ.INV.RT($L$4,A111)</f>
        <v>128.29894360114548</v>
      </c>
    </row>
    <row r="112" spans="1:12" x14ac:dyDescent="0.25">
      <c r="A112" s="2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9"/>
    </row>
    <row r="113" spans="1:12" x14ac:dyDescent="0.25">
      <c r="A113" s="25">
        <v>91</v>
      </c>
      <c r="B113" s="18">
        <f>_xlfn.CHISQ.INV.RT($B$4,A113)</f>
        <v>60.004911929559093</v>
      </c>
      <c r="C113" s="18">
        <f>_xlfn.CHISQ.INV.RT($C$4,A113)</f>
        <v>62.581068779372906</v>
      </c>
      <c r="D113" s="18">
        <f>_xlfn.CHISQ.INV.RT($D$4,A113)</f>
        <v>66.500689168195976</v>
      </c>
      <c r="E113" s="18">
        <f>_xlfn.CHISQ.INV.RT($E$4,A113)</f>
        <v>70.003463465198763</v>
      </c>
      <c r="F113" s="18">
        <f>_xlfn.CHISQ.INV.RT($F$4,A113)</f>
        <v>74.195522146074552</v>
      </c>
      <c r="G113" s="18"/>
      <c r="H113" s="18">
        <f>_xlfn.CHISQ.INV.RT($H$4,A113)</f>
        <v>108.66058134355924</v>
      </c>
      <c r="I113" s="18">
        <f>_xlfn.CHISQ.INV.RT($I$4,A113)</f>
        <v>114.26786767719355</v>
      </c>
      <c r="J113" s="18">
        <f>_xlfn.CHISQ.INV.RT($J$4,A113)</f>
        <v>119.28188854649564</v>
      </c>
      <c r="K113" s="18">
        <f>_xlfn.CHISQ.INV.RT($K$4,A113)</f>
        <v>125.28946310158368</v>
      </c>
      <c r="L113" s="19">
        <f>_xlfn.CHISQ.INV.RT($L$4,A113)</f>
        <v>129.49053430592042</v>
      </c>
    </row>
    <row r="114" spans="1:12" x14ac:dyDescent="0.25">
      <c r="A114" s="25">
        <v>92</v>
      </c>
      <c r="B114" s="18">
        <f>_xlfn.CHISQ.INV.RT($B$4,A114)</f>
        <v>60.814567010423538</v>
      </c>
      <c r="C114" s="18">
        <f>_xlfn.CHISQ.INV.RT($C$4,A114)</f>
        <v>63.409007137636294</v>
      </c>
      <c r="D114" s="18">
        <f>_xlfn.CHISQ.INV.RT($D$4,A114)</f>
        <v>67.355562817943749</v>
      </c>
      <c r="E114" s="18">
        <f>_xlfn.CHISQ.INV.RT($E$4,A114)</f>
        <v>70.881571337867442</v>
      </c>
      <c r="F114" s="18">
        <f>_xlfn.CHISQ.INV.RT($F$4,A114)</f>
        <v>75.100480850543661</v>
      </c>
      <c r="G114" s="18"/>
      <c r="H114" s="18">
        <f>_xlfn.CHISQ.INV.RT($H$4,A114)</f>
        <v>109.75562700860829</v>
      </c>
      <c r="I114" s="18">
        <f>_xlfn.CHISQ.INV.RT($I$4,A114)</f>
        <v>115.38978970826685</v>
      </c>
      <c r="J114" s="18">
        <f>_xlfn.CHISQ.INV.RT($J$4,A114)</f>
        <v>120.42708099391763</v>
      </c>
      <c r="K114" s="18">
        <f>_xlfn.CHISQ.INV.RT($K$4,A114)</f>
        <v>126.46165599955255</v>
      </c>
      <c r="L114" s="19">
        <f>_xlfn.CHISQ.INV.RT($L$4,A114)</f>
        <v>130.68107334307618</v>
      </c>
    </row>
    <row r="115" spans="1:12" x14ac:dyDescent="0.25">
      <c r="A115" s="25">
        <v>93</v>
      </c>
      <c r="B115" s="18">
        <f>_xlfn.CHISQ.INV.RT($B$4,A115)</f>
        <v>61.625252422553224</v>
      </c>
      <c r="C115" s="18">
        <f>_xlfn.CHISQ.INV.RT($C$4,A115)</f>
        <v>64.23787865082852</v>
      </c>
      <c r="D115" s="18">
        <f>_xlfn.CHISQ.INV.RT($D$4,A115)</f>
        <v>68.211225448506383</v>
      </c>
      <c r="E115" s="18">
        <f>_xlfn.CHISQ.INV.RT($E$4,A115)</f>
        <v>71.760343020245003</v>
      </c>
      <c r="F115" s="18">
        <f>_xlfn.CHISQ.INV.RT($F$4,A115)</f>
        <v>76.00595797146994</v>
      </c>
      <c r="G115" s="18"/>
      <c r="H115" s="18">
        <f>_xlfn.CHISQ.INV.RT($H$4,A115)</f>
        <v>110.85015416175854</v>
      </c>
      <c r="I115" s="18">
        <f>_xlfn.CHISQ.INV.RT($I$4,A115)</f>
        <v>116.51104728087356</v>
      </c>
      <c r="J115" s="18">
        <f>_xlfn.CHISQ.INV.RT($J$4,A115)</f>
        <v>121.5714830282068</v>
      </c>
      <c r="K115" s="18">
        <f>_xlfn.CHISQ.INV.RT($K$4,A115)</f>
        <v>127.63291290105587</v>
      </c>
      <c r="L115" s="19">
        <f>_xlfn.CHISQ.INV.RT($L$4,A115)</f>
        <v>131.87057784918844</v>
      </c>
    </row>
    <row r="116" spans="1:12" x14ac:dyDescent="0.25">
      <c r="A116" s="25">
        <v>94</v>
      </c>
      <c r="B116" s="18">
        <f>_xlfn.CHISQ.INV.RT($B$4,A116)</f>
        <v>62.436951624714176</v>
      </c>
      <c r="C116" s="18">
        <f>_xlfn.CHISQ.INV.RT($C$4,A116)</f>
        <v>65.06766830670945</v>
      </c>
      <c r="D116" s="18">
        <f>_xlfn.CHISQ.INV.RT($D$4,A116)</f>
        <v>69.067664334131507</v>
      </c>
      <c r="E116" s="18">
        <f>_xlfn.CHISQ.INV.RT($E$4,A116)</f>
        <v>72.639767785884686</v>
      </c>
      <c r="F116" s="18">
        <f>_xlfn.CHISQ.INV.RT($F$4,A116)</f>
        <v>76.911945117509575</v>
      </c>
      <c r="G116" s="18"/>
      <c r="H116" s="18">
        <f>_xlfn.CHISQ.INV.RT($H$4,A116)</f>
        <v>111.94417119744713</v>
      </c>
      <c r="I116" s="18">
        <f>_xlfn.CHISQ.INV.RT($I$4,A116)</f>
        <v>117.63165114234555</v>
      </c>
      <c r="J116" s="18">
        <f>_xlfn.CHISQ.INV.RT($J$4,A116)</f>
        <v>122.71510742117199</v>
      </c>
      <c r="K116" s="18">
        <f>_xlfn.CHISQ.INV.RT($K$4,A116)</f>
        <v>128.80324890961421</v>
      </c>
      <c r="L116" s="19">
        <f>_xlfn.CHISQ.INV.RT($L$4,A116)</f>
        <v>133.05906450031731</v>
      </c>
    </row>
    <row r="117" spans="1:12" x14ac:dyDescent="0.25">
      <c r="A117" s="25">
        <v>95</v>
      </c>
      <c r="B117" s="18">
        <f>_xlfn.CHISQ.INV.RT($B$4,A117)</f>
        <v>63.249648513333305</v>
      </c>
      <c r="C117" s="18">
        <f>_xlfn.CHISQ.INV.RT($C$4,A117)</f>
        <v>65.898361491120284</v>
      </c>
      <c r="D117" s="18">
        <f>_xlfn.CHISQ.INV.RT($D$4,A117)</f>
        <v>69.924867087440262</v>
      </c>
      <c r="E117" s="18">
        <f>_xlfn.CHISQ.INV.RT($E$4,A117)</f>
        <v>73.519835194100096</v>
      </c>
      <c r="F117" s="18">
        <f>_xlfn.CHISQ.INV.RT($F$4,A117)</f>
        <v>77.81843412126868</v>
      </c>
      <c r="G117" s="18"/>
      <c r="H117" s="18">
        <f>_xlfn.CHISQ.INV.RT($H$4,A117)</f>
        <v>113.037686286029</v>
      </c>
      <c r="I117" s="18">
        <f>_xlfn.CHISQ.INV.RT($I$4,A117)</f>
        <v>118.75161175336737</v>
      </c>
      <c r="J117" s="18">
        <f>_xlfn.CHISQ.INV.RT($J$4,A117)</f>
        <v>123.85796660429506</v>
      </c>
      <c r="K117" s="18">
        <f>_xlfn.CHISQ.INV.RT($K$4,A117)</f>
        <v>129.97267872679876</v>
      </c>
      <c r="L117" s="19">
        <f>_xlfn.CHISQ.INV.RT($L$4,A117)</f>
        <v>134.24654952915236</v>
      </c>
    </row>
    <row r="118" spans="1:12" x14ac:dyDescent="0.25">
      <c r="A118" s="25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9"/>
    </row>
    <row r="119" spans="1:12" x14ac:dyDescent="0.25">
      <c r="A119" s="25">
        <v>96</v>
      </c>
      <c r="B119" s="18">
        <f>_xlfn.CHISQ.INV.RT($B$4,A119)</f>
        <v>64.06332740646414</v>
      </c>
      <c r="C119" s="18">
        <f>_xlfn.CHISQ.INV.RT($C$4,A119)</f>
        <v>66.729943973365778</v>
      </c>
      <c r="D119" s="18">
        <f>_xlfn.CHISQ.INV.RT($D$4,A119)</f>
        <v>70.782821646966482</v>
      </c>
      <c r="E119" s="18">
        <f>_xlfn.CHISQ.INV.RT($E$4,A119)</f>
        <v>74.400535079420948</v>
      </c>
      <c r="F119" s="18">
        <f>_xlfn.CHISQ.INV.RT($F$4,A119)</f>
        <v>78.725417031024477</v>
      </c>
      <c r="G119" s="18"/>
      <c r="H119" s="18">
        <f>_xlfn.CHISQ.INV.RT($H$4,A119)</f>
        <v>114.13070738206275</v>
      </c>
      <c r="I119" s="18">
        <f>_xlfn.CHISQ.INV.RT($I$4,A119)</f>
        <v>119.87093929856714</v>
      </c>
      <c r="J119" s="18">
        <f>_xlfn.CHISQ.INV.RT($J$4,A119)</f>
        <v>125.00007268129393</v>
      </c>
      <c r="K119" s="18">
        <f>_xlfn.CHISQ.INV.RT($K$4,A119)</f>
        <v>131.14121666705199</v>
      </c>
      <c r="L119" s="19">
        <f>_xlfn.CHISQ.INV.RT($L$4,A119)</f>
        <v>135.433048741346</v>
      </c>
    </row>
    <row r="120" spans="1:12" x14ac:dyDescent="0.25">
      <c r="A120" s="25">
        <v>97</v>
      </c>
      <c r="B120" s="18">
        <f>_xlfn.CHISQ.INV.RT($B$4,A120)</f>
        <v>64.877973028500449</v>
      </c>
      <c r="C120" s="18">
        <f>_xlfn.CHISQ.INV.RT($C$4,A120)</f>
        <v>67.562401892279084</v>
      </c>
      <c r="D120" s="18">
        <f>_xlfn.CHISQ.INV.RT($D$4,A120)</f>
        <v>71.641516265279606</v>
      </c>
      <c r="E120" s="18">
        <f>_xlfn.CHISQ.INV.RT($E$4,A120)</f>
        <v>75.281857541543673</v>
      </c>
      <c r="F120" s="18">
        <f>_xlfn.CHISQ.INV.RT($F$4,A120)</f>
        <v>79.632886102835855</v>
      </c>
      <c r="G120" s="18"/>
      <c r="H120" s="18">
        <f>_xlfn.CHISQ.INV.RT($H$4,A120)</f>
        <v>115.2232422322066</v>
      </c>
      <c r="I120" s="18">
        <f>_xlfn.CHISQ.INV.RT($I$4,A120)</f>
        <v>120.98964369660958</v>
      </c>
      <c r="J120" s="18">
        <f>_xlfn.CHISQ.INV.RT($J$4,A120)</f>
        <v>126.14143744009597</v>
      </c>
      <c r="K120" s="18">
        <f>_xlfn.CHISQ.INV.RT($K$4,A120)</f>
        <v>132.30887667181261</v>
      </c>
      <c r="L120" s="19">
        <f>_xlfn.CHISQ.INV.RT($L$4,A120)</f>
        <v>136.61857753108043</v>
      </c>
    </row>
    <row r="121" spans="1:12" x14ac:dyDescent="0.25">
      <c r="A121" s="25">
        <v>98</v>
      </c>
      <c r="B121" s="18">
        <f>_xlfn.CHISQ.INV.RT($B$4,A121)</f>
        <v>65.69357049559369</v>
      </c>
      <c r="C121" s="18">
        <f>_xlfn.CHISQ.INV.RT($C$4,A121)</f>
        <v>68.395721742930931</v>
      </c>
      <c r="D121" s="18">
        <f>_xlfn.CHISQ.INV.RT($D$4,A121)</f>
        <v>72.500939497658294</v>
      </c>
      <c r="E121" s="18">
        <f>_xlfn.CHISQ.INV.RT($E$4,A121)</f>
        <v>76.163792935749072</v>
      </c>
      <c r="F121" s="18">
        <f>_xlfn.CHISQ.INV.RT($F$4,A121)</f>
        <v>80.540833793021164</v>
      </c>
      <c r="G121" s="18"/>
      <c r="H121" s="18">
        <f>_xlfn.CHISQ.INV.RT($H$4,A121)</f>
        <v>116.31529838274675</v>
      </c>
      <c r="I121" s="18">
        <f>_xlfn.CHISQ.INV.RT($I$4,A121)</f>
        <v>122.10773460981943</v>
      </c>
      <c r="J121" s="18">
        <f>_xlfn.CHISQ.INV.RT($J$4,A121)</f>
        <v>127.28207236425453</v>
      </c>
      <c r="K121" s="18">
        <f>_xlfn.CHISQ.INV.RT($K$4,A121)</f>
        <v>133.47567232298493</v>
      </c>
      <c r="L121" s="19">
        <f>_xlfn.CHISQ.INV.RT($L$4,A121)</f>
        <v>137.80315089591303</v>
      </c>
    </row>
    <row r="122" spans="1:12" x14ac:dyDescent="0.25">
      <c r="A122" s="25">
        <v>99</v>
      </c>
      <c r="B122" s="18">
        <f>_xlfn.CHISQ.INV.RT($B$4,A122)</f>
        <v>66.510105301737369</v>
      </c>
      <c r="C122" s="18">
        <f>_xlfn.CHISQ.INV.RT($C$4,A122)</f>
        <v>69.22989036394705</v>
      </c>
      <c r="D122" s="18">
        <f>_xlfn.CHISQ.INV.RT($D$4,A122)</f>
        <v>73.361080191283676</v>
      </c>
      <c r="E122" s="18">
        <f>_xlfn.CHISQ.INV.RT($E$4,A122)</f>
        <v>77.046331863760287</v>
      </c>
      <c r="F122" s="18">
        <f>_xlfn.CHISQ.INV.RT($F$4,A122)</f>
        <v>81.449252750982481</v>
      </c>
      <c r="G122" s="18"/>
      <c r="H122" s="18">
        <f>_xlfn.CHISQ.INV.RT($H$4,A122)</f>
        <v>117.4068831867789</v>
      </c>
      <c r="I122" s="18">
        <f>_xlfn.CHISQ.INV.RT($I$4,A122)</f>
        <v>123.2252214533618</v>
      </c>
      <c r="J122" s="18">
        <f>_xlfn.CHISQ.INV.RT($J$4,A122)</f>
        <v>128.42198864384031</v>
      </c>
      <c r="K122" s="18">
        <f>_xlfn.CHISQ.INV.RT($K$4,A122)</f>
        <v>134.64161685578915</v>
      </c>
      <c r="L122" s="19">
        <f>_xlfn.CHISQ.INV.RT($L$4,A122)</f>
        <v>138.9867834509395</v>
      </c>
    </row>
    <row r="123" spans="1:12" x14ac:dyDescent="0.25">
      <c r="A123" s="26">
        <v>100</v>
      </c>
      <c r="B123" s="20">
        <f>_xlfn.CHISQ.INV.RT($B$4,A123)</f>
        <v>67.327563305479146</v>
      </c>
      <c r="C123" s="20">
        <f>_xlfn.CHISQ.INV.RT($C$4,A123)</f>
        <v>70.064894925399784</v>
      </c>
      <c r="D123" s="20">
        <f>_xlfn.CHISQ.INV.RT($D$4,A123)</f>
        <v>74.221927474923731</v>
      </c>
      <c r="E123" s="20">
        <f>_xlfn.CHISQ.INV.RT($E$4,A123)</f>
        <v>77.929465165017277</v>
      </c>
      <c r="F123" s="20">
        <f>_xlfn.CHISQ.INV.RT($F$4,A123)</f>
        <v>82.358135812357148</v>
      </c>
      <c r="G123" s="20"/>
      <c r="H123" s="20">
        <f>_xlfn.CHISQ.INV.RT($H$4,A123)</f>
        <v>118.49800381106211</v>
      </c>
      <c r="I123" s="20">
        <f>_xlfn.CHISQ.INV.RT($I$4,A123)</f>
        <v>124.34211340400408</v>
      </c>
      <c r="J123" s="20">
        <f>_xlfn.CHISQ.INV.RT($J$4,A123)</f>
        <v>129.56119718583659</v>
      </c>
      <c r="K123" s="20">
        <f>_xlfn.CHISQ.INV.RT($K$4,A123)</f>
        <v>135.80672317102679</v>
      </c>
      <c r="L123" s="21">
        <f>_xlfn.CHISQ.INV.RT($L$4,A123)</f>
        <v>140.16948944231365</v>
      </c>
    </row>
  </sheetData>
  <sheetProtection password="F0F0" sheet="1" objects="1" scenarios="1" selectLockedCells="1"/>
  <mergeCells count="3">
    <mergeCell ref="B3:L3"/>
    <mergeCell ref="A3:A4"/>
    <mergeCell ref="N35:P35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EJ1</vt:lpstr>
      <vt:lpstr>TablaChi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 Amado</cp:lastModifiedBy>
  <cp:lastPrinted>2019-11-05T15:07:53Z</cp:lastPrinted>
  <dcterms:created xsi:type="dcterms:W3CDTF">2012-11-20T22:37:47Z</dcterms:created>
  <dcterms:modified xsi:type="dcterms:W3CDTF">2022-10-04T12:35:26Z</dcterms:modified>
</cp:coreProperties>
</file>
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ASO 1" sheetId="1" state="visible" r:id="rId1"/>
    <sheet name="CASO 2" sheetId="2" state="visible" r:id="rId2"/>
    <sheet name="CASO 3" sheetId="3" state="visible" r:id="rId3"/>
    <sheet name="CASO 4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<sst xmlns="http://schemas.openxmlformats.org/spreadsheetml/2006/main" count="22" uniqueCount="22">
  <si>
    <t xml:space="preserve">VARIANZA POBLACIONALES CONOCIDAS</t>
  </si>
  <si>
    <t xml:space="preserve">Variable 1</t>
  </si>
  <si>
    <t>Datos</t>
  </si>
  <si>
    <t xml:space="preserve">Variable 2</t>
  </si>
  <si>
    <t>Variables</t>
  </si>
  <si>
    <t>𝑥̅1</t>
  </si>
  <si>
    <r>
      <rPr>
        <color theme="1"/>
      </rPr>
      <t>𝑥̅</t>
    </r>
    <r>
      <rPr>
        <sz val="8"/>
        <color theme="1"/>
      </rPr>
      <t>2</t>
    </r>
  </si>
  <si>
    <t>𝑧𝛼/2</t>
  </si>
  <si>
    <r>
      <rPr>
        <sz val="11"/>
        <color theme="1"/>
        <rFont val="Calibri"/>
        <scheme val="minor"/>
      </rPr>
      <t>𝜎</t>
    </r>
    <r>
      <rPr>
        <sz val="8"/>
        <color theme="1"/>
        <rFont val="Calibri"/>
        <scheme val="minor"/>
      </rPr>
      <t>1</t>
    </r>
  </si>
  <si>
    <r>
      <rPr>
        <sz val="11"/>
        <color theme="1"/>
        <rFont val="Calibri"/>
        <scheme val="minor"/>
      </rPr>
      <t>𝜎</t>
    </r>
    <r>
      <rPr>
        <sz val="8"/>
        <color theme="1"/>
        <rFont val="Calibri"/>
        <scheme val="minor"/>
      </rPr>
      <t>2</t>
    </r>
  </si>
  <si>
    <t>NC</t>
  </si>
  <si>
    <r>
      <rPr>
        <sz val="11"/>
        <color theme="1"/>
        <rFont val="Calibri"/>
        <scheme val="minor"/>
      </rPr>
      <t>𝜎</t>
    </r>
    <r>
      <rPr>
        <sz val="8"/>
        <color theme="1"/>
        <rFont val="Calibri"/>
        <scheme val="minor"/>
      </rPr>
      <t xml:space="preserve">1 </t>
    </r>
    <r>
      <rPr>
        <sz val="11"/>
        <color theme="1"/>
        <rFont val="Calibri"/>
        <scheme val="minor"/>
      </rPr>
      <t xml:space="preserve">^ 2</t>
    </r>
  </si>
  <si>
    <r>
      <rPr>
        <sz val="11"/>
        <color theme="1"/>
        <rFont val="Calibri"/>
        <scheme val="minor"/>
      </rPr>
      <t>𝜎</t>
    </r>
    <r>
      <rPr>
        <sz val="8"/>
        <color theme="1"/>
        <rFont val="Calibri"/>
        <scheme val="minor"/>
      </rPr>
      <t xml:space="preserve">2 </t>
    </r>
    <r>
      <rPr>
        <sz val="11"/>
        <color theme="1"/>
        <rFont val="Calibri"/>
        <scheme val="minor"/>
      </rPr>
      <t xml:space="preserve">^ 2</t>
    </r>
  </si>
  <si>
    <t>𝜎</t>
  </si>
  <si>
    <r>
      <rPr>
        <sz val="11"/>
        <color theme="1"/>
        <rFont val="Calibri"/>
        <scheme val="minor"/>
      </rPr>
      <t>n</t>
    </r>
    <r>
      <rPr>
        <sz val="8"/>
        <color theme="1"/>
        <rFont val="Calibri"/>
        <scheme val="minor"/>
      </rPr>
      <t>1</t>
    </r>
  </si>
  <si>
    <r>
      <rPr>
        <sz val="11"/>
        <color theme="1"/>
        <rFont val="Calibri"/>
        <scheme val="minor"/>
      </rPr>
      <t>n</t>
    </r>
    <r>
      <rPr>
        <sz val="8"/>
        <color theme="1"/>
        <rFont val="Calibri"/>
        <scheme val="minor"/>
      </rPr>
      <t>2</t>
    </r>
  </si>
  <si>
    <t>SE</t>
  </si>
  <si>
    <t>E</t>
  </si>
  <si>
    <r>
      <rPr>
        <sz val="11"/>
        <color theme="1"/>
        <rFont val="Calibri"/>
        <scheme val="minor"/>
      </rPr>
      <t>(𝑥̅</t>
    </r>
    <r>
      <rPr>
        <sz val="8"/>
        <color theme="1"/>
        <rFont val="Calibri"/>
        <scheme val="minor"/>
      </rPr>
      <t>1</t>
    </r>
    <r>
      <rPr>
        <sz val="11"/>
        <color theme="1"/>
        <rFont val="Calibri"/>
        <scheme val="minor"/>
      </rPr>
      <t xml:space="preserve"> − 𝑥̅</t>
    </r>
    <r>
      <rPr>
        <sz val="8"/>
        <color theme="1"/>
        <rFont val="Calibri"/>
        <scheme val="minor"/>
      </rPr>
      <t>2</t>
    </r>
    <r>
      <rPr>
        <sz val="11"/>
        <color theme="1"/>
        <rFont val="Calibri"/>
        <scheme val="minor"/>
      </rPr>
      <t>)</t>
    </r>
  </si>
  <si>
    <t xml:space="preserve">(𝑥̅1 − 𝑥̅2) + 𝐸</t>
  </si>
  <si>
    <t xml:space="preserve">(𝑥̅1 − 𝑥̅2) - 𝐸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</si>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</sst>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4" tint="0.79998168889431442"/>
        <bgColor theme="4" tint="0.79998168889431442"/>
      </patternFill>
    </fill>
  </fills>
  <borders count="7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theme="4" tint="0.39997558519241921"/>
      </bottom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none"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19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left"/>
    </xf>
    <xf fontId="0" fillId="0" borderId="1" numFmtId="0" xfId="0" applyBorder="1"/>
    <xf fontId="0" fillId="0" borderId="1" numFmtId="0" xfId="0" applyBorder="1"/>
    <xf fontId="1" fillId="3" borderId="2" numFmtId="0" xfId="0" applyFont="1" applyFill="1" applyBorder="1">
      <protection hidden="0" locked="1"/>
    </xf>
    <xf fontId="1" fillId="3" borderId="3" numFmtId="0" xfId="0" applyFont="1" applyFill="1" applyBorder="1"/>
    <xf fontId="1" fillId="3" borderId="4" numFmtId="0" xfId="0" applyFont="1" applyFill="1" applyBorder="1">
      <protection hidden="0" locked="1"/>
    </xf>
    <xf fontId="1" fillId="3" borderId="5" numFmtId="0" xfId="0" applyFont="1" applyFill="1" applyBorder="1"/>
    <xf fontId="0" fillId="0" borderId="0" numFmtId="2" xfId="1" applyNumberFormat="1"/>
    <xf fontId="0" fillId="0" borderId="6" numFmtId="0" xfId="0" applyBorder="1"/>
    <xf fontId="1" fillId="0" borderId="3" numFmtId="0" xfId="0" applyFont="1" applyBorder="1"/>
    <xf fontId="0" fillId="0" borderId="4" numFmtId="0" xfId="0" applyBorder="1"/>
    <xf fontId="1" fillId="0" borderId="5" numFmtId="0" xfId="0" applyFont="1" applyBorder="1"/>
    <xf fontId="0" fillId="0" borderId="0" numFmtId="0" xfId="0"/>
    <xf fontId="0" fillId="0" borderId="0" numFmtId="9" xfId="1" applyNumberFormat="1"/>
    <xf fontId="0" fillId="0" borderId="0" numFmtId="2" xfId="1" applyNumberFormat="1"/>
    <xf fontId="0" fillId="0" borderId="6" numFmtId="0" xfId="0" applyBorder="1"/>
    <xf fontId="0" fillId="0" borderId="0" numFmt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8</xdr:col>
      <xdr:colOff>561974</xdr:colOff>
      <xdr:row>0</xdr:row>
      <xdr:rowOff>0</xdr:rowOff>
    </xdr:from>
    <xdr:ext cx="5122595" cy="1422399"/>
    <xdr:pic>
      <xdr:nvPicPr>
        <xdr:cNvPr id="1092344427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5984874" y="0"/>
          <a:ext cx="5122595" cy="1422399"/>
        </a:xfrm>
        <a:prstGeom prst="rect">
          <a:avLst/>
        </a:prstGeom>
      </xdr:spPr>
    </xdr:pic>
    <xdr:clientData/>
  </xdr:oneCellAnchor>
  <xdr:oneCellAnchor>
    <xdr:from>
      <xdr:col>8</xdr:col>
      <xdr:colOff>561974</xdr:colOff>
      <xdr:row>8</xdr:row>
      <xdr:rowOff>155574</xdr:rowOff>
    </xdr:from>
    <xdr:ext cx="4828686" cy="1250949"/>
    <xdr:pic>
      <xdr:nvPicPr>
        <xdr:cNvPr id="1693978088" name=""/>
        <xdr:cNvPicPr>
          <a:picLocks noChangeAspect="1"/>
        </xdr:cNvPicPr>
      </xdr:nvPicPr>
      <xdr:blipFill rotWithShape="1">
        <a:blip r:embed="rId2"/>
        <a:srcRect l="0" t="0" r="0" b="12304"/>
        <a:stretch/>
      </xdr:blipFill>
      <xdr:spPr bwMode="auto">
        <a:xfrm flipH="0" flipV="0">
          <a:off x="5984874" y="1577974"/>
          <a:ext cx="4828686" cy="125094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$G$3:$H$11">
  <autoFilter ref="$G$3:$H$11"/>
  <tableColumns count="2">
    <tableColumn id="1" name="Variables"/>
    <tableColumn id="2" name="Dat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3" ref="$A$3:$B$7">
  <autoFilter ref="$A$3:$B$7"/>
  <tableColumns count="2">
    <tableColumn id="1" name="Variable 1"/>
    <tableColumn id="2" name="Dato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4" ref="$D$3:$E$7">
  <autoFilter ref="$D$3:$E$7"/>
  <tableColumns count="2">
    <tableColumn id="1" name="Variable 2"/>
    <tableColumn id="2" name="Datos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Relationship  Id="rId3" Type="http://schemas.openxmlformats.org/officeDocument/2006/relationships/table" Target="../tables/table2.xml"/><Relationship 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5234375"/>
    <col bestFit="1" min="2" max="2" width="11.00390625"/>
    <col bestFit="1" min="4" max="4" width="11.953125"/>
  </cols>
  <sheetData>
    <row r="1" ht="14.25">
      <c r="A1" s="1" t="s">
        <v>0</v>
      </c>
      <c r="B1" s="1"/>
      <c r="C1" s="1"/>
      <c r="D1" s="1"/>
    </row>
    <row r="2" ht="14.25">
      <c r="A2" s="2"/>
    </row>
    <row r="3" ht="14.25">
      <c r="A3" t="s">
        <v>1</v>
      </c>
      <c r="B3" t="s">
        <v>2</v>
      </c>
      <c r="D3" s="3" t="s">
        <v>3</v>
      </c>
      <c r="E3" s="4" t="s">
        <v>2</v>
      </c>
      <c r="G3" t="s">
        <v>4</v>
      </c>
      <c r="H3" t="s">
        <v>2</v>
      </c>
    </row>
    <row r="4" ht="14.25">
      <c r="A4" s="5" t="s">
        <v>5</v>
      </c>
      <c r="B4" s="6">
        <v>985</v>
      </c>
      <c r="D4" s="7" t="s">
        <v>6</v>
      </c>
      <c r="E4" s="8">
        <v>985</v>
      </c>
      <c r="G4" t="s">
        <v>7</v>
      </c>
      <c r="H4" s="9">
        <f>_xlfn.NORM.S.INV(H5+H6/2)</f>
        <v>2.3263478740408399</v>
      </c>
    </row>
    <row r="5" ht="14.25">
      <c r="A5" s="10" t="s">
        <v>8</v>
      </c>
      <c r="B5" s="11">
        <v>12</v>
      </c>
      <c r="D5" s="12" t="s">
        <v>9</v>
      </c>
      <c r="E5" s="13">
        <v>12</v>
      </c>
      <c r="G5" s="14" t="s">
        <v>10</v>
      </c>
      <c r="H5" s="15">
        <v>0.97999999999999998</v>
      </c>
    </row>
    <row r="6" ht="14.25">
      <c r="A6" s="10" t="s">
        <v>11</v>
      </c>
      <c r="B6" s="11">
        <f>B5^2</f>
        <v>144</v>
      </c>
      <c r="D6" s="12" t="s">
        <v>12</v>
      </c>
      <c r="E6" s="13">
        <f>E5^2</f>
        <v>144</v>
      </c>
      <c r="G6" s="14" t="s">
        <v>13</v>
      </c>
      <c r="H6" s="16">
        <f>1-H5</f>
        <v>0.020000000000000018</v>
      </c>
    </row>
    <row r="7" ht="14.25">
      <c r="A7" s="17" t="s">
        <v>14</v>
      </c>
      <c r="B7" s="11">
        <v>50</v>
      </c>
      <c r="D7" s="12" t="s">
        <v>15</v>
      </c>
      <c r="E7" s="13">
        <v>50</v>
      </c>
      <c r="G7" s="18" t="s">
        <v>16</v>
      </c>
      <c r="H7" s="16" t="e">
        <f>SQRT((#REF!/#REF!)+(#REF!/#REF!))</f>
        <v>#REF!</v>
      </c>
    </row>
    <row r="8" ht="14.25">
      <c r="G8" s="18" t="s">
        <v>17</v>
      </c>
      <c r="H8" s="16" t="e">
        <f>H4*H7</f>
        <v>#REF!</v>
      </c>
    </row>
    <row r="9" ht="14.25">
      <c r="G9" s="18" t="s">
        <v>18</v>
      </c>
      <c r="H9" s="16" t="e">
        <f>#REF!-#REF!</f>
        <v>#REF!</v>
      </c>
    </row>
    <row r="10" ht="14.25">
      <c r="G10" s="18" t="s">
        <v>19</v>
      </c>
      <c r="H10" s="16" t="e">
        <f>H9+H8</f>
        <v>#REF!</v>
      </c>
    </row>
    <row r="11" ht="14.25">
      <c r="G11" s="18" t="s">
        <v>20</v>
      </c>
      <c r="H11" s="16" t="e">
        <f>H9-H8</f>
        <v>#REF!</v>
      </c>
    </row>
  </sheetData>
  <mergeCells count="1">
    <mergeCell ref="A1:D1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21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2026-04-23T02:56:27Z</dcterms:modified>
</cp:coreProperties>
</file>
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tsclient\home\Downloads\"/>
    </mc:Choice>
  </mc:AlternateContent>
  <xr:revisionPtr revIDLastSave="0" documentId="13_ncr:1_{2E51E9F8-6A98-441B-B58F-752B7F458C47}" xr6:coauthVersionLast="47" xr6:coauthVersionMax="47" xr10:uidLastSave="{00000000-0000-0000-0000-000000000000}"/>
  <bookViews>
    <workbookView xWindow="345" yWindow="450" windowWidth="28110" windowHeight="15405" tabRatio="500" xr2:uid="{00000000-000D-0000-FFFF-FFFF00000000}"/>
  </bookViews>
  <sheets>
    <sheet name="AUTO - Detección de Caso" sheetId="1" r:id="rId1"/>
    <sheet name="IC1 (Z, σ conocida)" sheetId="2" r:id="rId2"/>
    <sheet name="IC2 (Z, n≥30, σ desconocida)" sheetId="3" r:id="rId3"/>
    <sheet name="IC3 (t, n&lt;30, σ desconocida)" sheetId="4" r:id="rId4"/>
    <sheet name="IC4 (Z, Proporción)" sheetId="5" r:id="rId5"/>
    <sheet name="IC5 (χ², Varianza)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6" l="1"/>
  <c r="C12" i="6"/>
  <c r="C15" i="5"/>
  <c r="C12" i="4"/>
  <c r="C11" i="3"/>
  <c r="C23" i="1"/>
  <c r="C22" i="1"/>
  <c r="C11" i="2"/>
  <c r="C11" i="6"/>
  <c r="C10" i="6"/>
  <c r="C6" i="6"/>
  <c r="C14" i="5"/>
  <c r="C6" i="5"/>
  <c r="C13" i="4"/>
  <c r="C14" i="4"/>
  <c r="C11" i="4"/>
  <c r="C10" i="4"/>
  <c r="C12" i="3"/>
  <c r="C13" i="3"/>
  <c r="C10" i="3"/>
  <c r="C12" i="2"/>
  <c r="C10" i="2"/>
  <c r="C26" i="1"/>
  <c r="C21" i="1"/>
  <c r="C19" i="1"/>
  <c r="C17" i="1"/>
  <c r="C16" i="1"/>
  <c r="C18" i="1" s="1"/>
  <c r="C15" i="1"/>
  <c r="B13" i="1"/>
  <c r="C13" i="2" l="1"/>
  <c r="C15" i="2" s="1"/>
  <c r="C20" i="1"/>
  <c r="C25" i="1" s="1"/>
  <c r="B27" i="1" s="1"/>
  <c r="D15" i="3"/>
  <c r="B16" i="3"/>
  <c r="C15" i="3"/>
  <c r="D16" i="4"/>
  <c r="B17" i="4"/>
  <c r="C16" i="4"/>
  <c r="B16" i="2"/>
  <c r="D15" i="2"/>
  <c r="C17" i="6"/>
  <c r="C15" i="6"/>
  <c r="C10" i="5"/>
  <c r="B12" i="5" s="1"/>
  <c r="C11" i="5"/>
  <c r="C16" i="5"/>
  <c r="C17" i="5" s="1"/>
  <c r="D25" i="1" l="1"/>
  <c r="B20" i="5"/>
  <c r="D19" i="5"/>
  <c r="C19" i="5"/>
  <c r="D17" i="6"/>
  <c r="D15" i="6"/>
  <c r="B18" i="6"/>
</calcChain>
</file>

<file path=xl/sharedStrings.xml><?xml version="1.0" encoding="utf-8"?>
<sst xmlns="http://schemas.openxmlformats.org/spreadsheetml/2006/main" count="137" uniqueCount="76">
  <si>
    <t>★  RESOLVEDOR AUTOMÁTICO  —  Intervalos de Confianza  (Una Muestra)  ★</t>
  </si>
  <si>
    <t>Ingresa los datos → el sistema detecta el caso y calcula el IC automáticamente</t>
  </si>
  <si>
    <t>⚠  GUÍA DE USO:
• Media con σ conocida → llena n, x̄, σ  (deja s, x_éxitos y s² en blanco)
• Media con σ desconocida → llena n, x̄, s  (deja σ en blanco)
• Proporción → llena n y x_éxitos  (deja x̄, σ, s y s² en blanco)
• Varianza → llena n y s²  (deja x̄, σ, s y x_éxitos en blanco)</t>
  </si>
  <si>
    <t>▌ INGRESA LOS DATOS  (solo los que corresponden al problema)</t>
  </si>
  <si>
    <t>n  (tamaño de muestra)</t>
  </si>
  <si>
    <t>Obligatorio para todos los casos</t>
  </si>
  <si>
    <t>x̄  (media muestral)</t>
  </si>
  <si>
    <t>Media — dejar en blanco si el caso es Proporción o Varianza</t>
  </si>
  <si>
    <t>σ  (desv. estándar POBLACIONAL — si se conoce)</t>
  </si>
  <si>
    <t>Solo Caso IC1 — dejar en blanco si σ es desconocida</t>
  </si>
  <si>
    <t>s  (desv. estándar MUESTRAL)</t>
  </si>
  <si>
    <t>Casos IC2 e IC3 — dejar en blanco si σ es conocida</t>
  </si>
  <si>
    <t>x_éxitos  (número de éxitos — Proporción)</t>
  </si>
  <si>
    <t>Solo Caso IC4 — dejar en blanco si no es proporción</t>
  </si>
  <si>
    <t>s²  (varianza muestral — Varianza σ²)</t>
  </si>
  <si>
    <t>Solo Caso IC5 — dejar en blanco si no es varianza</t>
  </si>
  <si>
    <t>▌ PARÁMETROS</t>
  </si>
  <si>
    <t>Nivel de Confianza  (NC)</t>
  </si>
  <si>
    <t>Ej: 0.95 → 95%</t>
  </si>
  <si>
    <t>▌ CÁLCULOS AUTOMÁTICOS  (según caso detectado)</t>
  </si>
  <si>
    <t>α  (nivel de significancia)</t>
  </si>
  <si>
    <t>Grados de libertad  (gl = n−1)</t>
  </si>
  <si>
    <t>p̂  (proporción muestral = x/n)</t>
  </si>
  <si>
    <t>Valor crítico  (Z o t)</t>
  </si>
  <si>
    <t>Error estándar  SE</t>
  </si>
  <si>
    <t>Margen de error  E = valor crítico · SE</t>
  </si>
  <si>
    <t>Centro del IC  (x̄  o  p̂)</t>
  </si>
  <si>
    <t>χ² derecha  (IC5 únicamente)</t>
  </si>
  <si>
    <t>χ² izquierda  (IC5 únicamente)</t>
  </si>
  <si>
    <t>▌ RESULTADO FINAL</t>
  </si>
  <si>
    <t>▶  Intervalo de Confianza  [ LI , LS ]</t>
  </si>
  <si>
    <t>LI                    LS</t>
  </si>
  <si>
    <t>Caso detectado</t>
  </si>
  <si>
    <t>IC1 — Media Poblacional  |  σ conocida  →  Distribución Z</t>
  </si>
  <si>
    <t>Usar cuando se conoce la desviación estándar poblacional σ  (datos históricos)</t>
  </si>
  <si>
    <t>▌ DATOS DE LA MUESTRA</t>
  </si>
  <si>
    <t>Entero ≥ 1</t>
  </si>
  <si>
    <t>σ  (desv. estándar POBLACIONAL)</t>
  </si>
  <si>
    <t>σ conocida — dato del problema</t>
  </si>
  <si>
    <t>▌ CÁLCULOS AUTOMÁTICOS</t>
  </si>
  <si>
    <t>Z crítico  (Z α/2)</t>
  </si>
  <si>
    <t>Error estándar  SE = σ/√n</t>
  </si>
  <si>
    <t>Margen de error  E = Z · SE</t>
  </si>
  <si>
    <t>IC2 — Media Poblacional  |  σ desconocida, n ≥ 30  →  Distribución Z  (TLC)</t>
  </si>
  <si>
    <t>n grande: s muestral ≈ σ poblacional  |  Se aplica Teorema del Límite Central</t>
  </si>
  <si>
    <t>n ≥ 30</t>
  </si>
  <si>
    <t>s muestral — σ desconocida</t>
  </si>
  <si>
    <t>Error estándar  SE = s/√n</t>
  </si>
  <si>
    <t>IC3 — Media Poblacional  |  σ desconocida, n &lt; 30  →  t de Student</t>
  </si>
  <si>
    <t>n pequeño: no se puede usar TLC  |  gl = n − 1</t>
  </si>
  <si>
    <t>n &lt; 30  (población aprox. normal)</t>
  </si>
  <si>
    <t>Grados de libertad  gl = n − 1</t>
  </si>
  <si>
    <t>t crítico  (t α/2, gl)</t>
  </si>
  <si>
    <t>Margen de error  E = t · SE</t>
  </si>
  <si>
    <t>IC4 — Proporción Poblacional  p  →  Distribución Z</t>
  </si>
  <si>
    <t>Requiere n·p̂ ≥ 5  y  n·(1−p̂) ≥ 5  para validez de la aproximación normal</t>
  </si>
  <si>
    <t>x  (número de éxitos observados)</t>
  </si>
  <si>
    <t>Entero  ≤  n</t>
  </si>
  <si>
    <t>Calculado automáticamente — o ingresa directamente</t>
  </si>
  <si>
    <t>▌ VALIDACIÓN  (condiciones de normalidad)</t>
  </si>
  <si>
    <t>n · p̂  (debe ser ≥ 5)</t>
  </si>
  <si>
    <t>n · (1 − p̂)  (debe ser ≥ 5)</t>
  </si>
  <si>
    <t>Error estándar  SE = √(p̂·(1−p̂)/n)</t>
  </si>
  <si>
    <t>IC5 — Varianza Poblacional  σ²  →  Distribución Chi Cuadrada  (χ²)</t>
  </si>
  <si>
    <t>Población normal  |  gl = n − 1  |  Intervalo asimétrico: usa χ²_derecha y χ²_izquierda</t>
  </si>
  <si>
    <t>n ≥ 2  (población normal)</t>
  </si>
  <si>
    <t>s²  (varianza MUESTRAL)</t>
  </si>
  <si>
    <t>Si tienes s, ingresa s² = s·s</t>
  </si>
  <si>
    <t>s  (desv. estándar muestral)</t>
  </si>
  <si>
    <t>Calculada automáticamente de s²</t>
  </si>
  <si>
    <t>χ² derecha  (χ²_α/2 , gl)  — valor MAYOR</t>
  </si>
  <si>
    <t>χ² izquierda  (χ²_1−α/2 , gl)  — valor MENOR</t>
  </si>
  <si>
    <t>▌ RESULTADO FINAL — VARIANZA  σ²</t>
  </si>
  <si>
    <t>▌ RESULTADO FINAL — DESV. ESTÁNDAR  σ  (raíz del IC anterior)</t>
  </si>
  <si>
    <t>▶  IC para σ  [ √LI , √LS ]</t>
  </si>
  <si>
    <t>√LI                 √LS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</si>
</sst>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7F3F00"/>
      <name val="Arial"/>
      <charset val="1"/>
    </font>
    <font>
      <b/>
      <sz val="10"/>
      <color rgb="FF2C3E50"/>
      <name val="Arial"/>
      <charset val="1"/>
    </font>
    <font>
      <b/>
      <sz val="10"/>
      <color rgb="FF1A5276"/>
      <name val="Arial"/>
      <charset val="1"/>
    </font>
    <font>
      <i/>
      <sz val="9"/>
      <color rgb="FF7F8C8D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D6A27"/>
      <name val="Arial"/>
      <charset val="1"/>
    </font>
    <font>
      <b/>
      <sz val="11"/>
      <color rgb="FF1D6A27"/>
      <name val="Arial"/>
      <charset val="1"/>
    </font>
    <font>
      <sz val="9"/>
      <color rgb="FF1D6A27"/>
      <name val="Arial"/>
      <charset val="1"/>
    </font>
    <font>
      <b/>
      <sz val="9"/>
      <color rgb="FF1A5276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980B9"/>
        <bgColor rgb="FF3366FF"/>
      </patternFill>
    </fill>
    <fill>
      <patternFill patternType="solid">
        <fgColor rgb="FFFEF9E7"/>
        <bgColor rgb="FFFDFEFE"/>
      </patternFill>
    </fill>
    <fill>
      <patternFill patternType="solid">
        <fgColor rgb="FF154360"/>
        <bgColor rgb="FF1F3864"/>
      </patternFill>
    </fill>
    <fill>
      <patternFill patternType="solid">
        <fgColor rgb="FFD6E4F0"/>
        <bgColor rgb="FFD5F5E3"/>
      </patternFill>
    </fill>
    <fill>
      <patternFill patternType="solid">
        <fgColor rgb="FFEBF5FB"/>
        <bgColor rgb="FFFDFEFE"/>
      </patternFill>
    </fill>
    <fill>
      <patternFill patternType="solid">
        <fgColor rgb="FF1A5276"/>
        <bgColor rgb="FF154360"/>
      </patternFill>
    </fill>
    <fill>
      <patternFill patternType="solid">
        <fgColor rgb="FF117A65"/>
        <bgColor rgb="FF1D6A27"/>
      </patternFill>
    </fill>
    <fill>
      <patternFill patternType="solid">
        <fgColor rgb="FFFDFEFE"/>
        <bgColor rgb="FFFFFFFF"/>
      </patternFill>
    </fill>
    <fill>
      <patternFill patternType="solid">
        <fgColor rgb="FFD5F5E3"/>
        <bgColor rgb="FFD6E4F0"/>
      </patternFill>
    </fill>
    <fill>
      <patternFill patternType="solid">
        <fgColor rgb="FFFFF3CD"/>
        <bgColor rgb="FFFEF9E7"/>
      </patternFill>
    </fill>
    <fill>
      <patternFill patternType="solid">
        <fgColor rgb="FF7D6608"/>
        <bgColor rgb="FF7F3F00"/>
      </patternFill>
    </fill>
  </fills>
  <borders count="3">
    <border>
      <left/>
      <right/>
      <top/>
      <bottom/>
      <diagonal/>
    </border>
    <border>
      <left style="thin">
        <color rgb="FFAEB6BF"/>
      </left>
      <right/>
      <top style="thin">
        <color rgb="FFAEB6BF"/>
      </top>
      <bottom style="thin">
        <color rgb="FFAEB6BF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9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0" fontId="5" fillId="7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1" fontId="8" fillId="10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 vertical="center"/>
    </xf>
    <xf numFmtId="164" fontId="10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0" fillId="11" borderId="2" xfId="0" applyFill="1" applyBorder="1"/>
    <xf numFmtId="2" fontId="8" fillId="1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27"/>
      <rgbColor rgb="FF000080"/>
      <rgbColor rgb="FF7D6608"/>
      <rgbColor rgb="FF800080"/>
      <rgbColor rgb="FF117A65"/>
      <rgbColor rgb="FFAEB6BF"/>
      <rgbColor rgb="FF7F8C8D"/>
      <rgbColor rgb="FF9999FF"/>
      <rgbColor rgb="FF993366"/>
      <rgbColor rgb="FFFFF3CD"/>
      <rgbColor rgb="FFEBF5FB"/>
      <rgbColor rgb="FF660066"/>
      <rgbColor rgb="FFFF8080"/>
      <rgbColor rgb="FF1A5276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DFEFE"/>
      <rgbColor rgb="FFD5F5E3"/>
      <rgbColor rgb="FFFEF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003300"/>
      <rgbColor rgb="FF333300"/>
      <rgbColor rgb="FF7F3F00"/>
      <rgbColor rgb="FF993366"/>
      <rgbColor rgb="FF1F3864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showGridLines="0" tabSelected="1" topLeftCell="A2" zoomScaleNormal="100" workbookViewId="0">
      <selection activeCell="J7" sqref="J7"/>
    </sheetView>
  </sheetViews>
  <sheetFormatPr defaultColWidth="8.7109375" defaultRowHeight="15" x14ac:dyDescent="0.25"/>
  <cols>
    <col min="1" max="1" width="2" customWidth="1"/>
    <col min="2" max="2" width="45.7109375" customWidth="1"/>
    <col min="3" max="4" width="18" customWidth="1"/>
    <col min="5" max="5" width="14" customWidth="1"/>
    <col min="6" max="6" width="30" customWidth="1"/>
  </cols>
  <sheetData>
    <row r="1" spans="2:6" ht="27.75" customHeight="1" x14ac:dyDescent="0.25">
      <c r="B1" s="12" t="s">
        <v>0</v>
      </c>
      <c r="C1" s="12"/>
      <c r="D1" s="12"/>
      <c r="E1" s="12"/>
      <c r="F1" s="12"/>
    </row>
    <row r="2" spans="2:6" ht="18" customHeight="1" x14ac:dyDescent="0.25">
      <c r="B2" s="11" t="s">
        <v>1</v>
      </c>
      <c r="C2" s="11"/>
      <c r="D2" s="11"/>
      <c r="E2" s="11"/>
      <c r="F2" s="11"/>
    </row>
    <row r="3" spans="2:6" ht="60" customHeight="1" x14ac:dyDescent="0.25">
      <c r="B3" s="10" t="s">
        <v>2</v>
      </c>
      <c r="C3" s="10"/>
      <c r="D3" s="10"/>
      <c r="E3" s="10"/>
      <c r="F3" s="10"/>
    </row>
    <row r="4" spans="2:6" ht="19.5" customHeight="1" x14ac:dyDescent="0.25">
      <c r="B4" s="9" t="s">
        <v>3</v>
      </c>
      <c r="C4" s="9"/>
      <c r="D4" s="9"/>
      <c r="E4" s="9"/>
      <c r="F4" s="9"/>
    </row>
    <row r="5" spans="2:6" ht="18" customHeight="1" x14ac:dyDescent="0.25">
      <c r="B5" s="13" t="s">
        <v>4</v>
      </c>
      <c r="C5" s="14"/>
      <c r="D5" s="8" t="s">
        <v>5</v>
      </c>
      <c r="E5" s="8"/>
      <c r="F5" s="8"/>
    </row>
    <row r="6" spans="2:6" ht="18" customHeight="1" x14ac:dyDescent="0.25">
      <c r="B6" s="13" t="s">
        <v>6</v>
      </c>
      <c r="C6" s="15"/>
      <c r="D6" s="8" t="s">
        <v>7</v>
      </c>
      <c r="E6" s="8"/>
      <c r="F6" s="8"/>
    </row>
    <row r="7" spans="2:6" ht="18" customHeight="1" x14ac:dyDescent="0.25">
      <c r="B7" s="13" t="s">
        <v>8</v>
      </c>
      <c r="C7" s="15"/>
      <c r="D7" s="8" t="s">
        <v>9</v>
      </c>
      <c r="E7" s="8"/>
      <c r="F7" s="8"/>
    </row>
    <row r="8" spans="2:6" ht="18" customHeight="1" x14ac:dyDescent="0.25">
      <c r="B8" s="13" t="s">
        <v>10</v>
      </c>
      <c r="C8" s="15"/>
      <c r="D8" s="8" t="s">
        <v>11</v>
      </c>
      <c r="E8" s="8"/>
      <c r="F8" s="8"/>
    </row>
    <row r="9" spans="2:6" ht="18" customHeight="1" x14ac:dyDescent="0.25">
      <c r="B9" s="13" t="s">
        <v>12</v>
      </c>
      <c r="C9" s="14"/>
      <c r="D9" s="8" t="s">
        <v>13</v>
      </c>
      <c r="E9" s="8"/>
      <c r="F9" s="8"/>
    </row>
    <row r="10" spans="2:6" ht="18" customHeight="1" x14ac:dyDescent="0.25">
      <c r="B10" s="13" t="s">
        <v>14</v>
      </c>
      <c r="C10" s="15"/>
      <c r="D10" s="8" t="s">
        <v>15</v>
      </c>
      <c r="E10" s="8"/>
      <c r="F10" s="8"/>
    </row>
    <row r="11" spans="2:6" ht="19.5" customHeight="1" x14ac:dyDescent="0.25">
      <c r="B11" s="9" t="s">
        <v>16</v>
      </c>
      <c r="C11" s="9"/>
      <c r="D11" s="9"/>
      <c r="E11" s="9"/>
      <c r="F11" s="9"/>
    </row>
    <row r="12" spans="2:6" ht="18" customHeight="1" x14ac:dyDescent="0.25">
      <c r="B12" s="13" t="s">
        <v>17</v>
      </c>
      <c r="C12" s="16">
        <v>0.95</v>
      </c>
      <c r="D12" s="8" t="s">
        <v>18</v>
      </c>
      <c r="E12" s="8"/>
      <c r="F12" s="8"/>
    </row>
    <row r="13" spans="2:6" ht="21.75" customHeight="1" x14ac:dyDescent="0.25">
      <c r="B13" s="7" t="str">
        <f>IF(ISBLANK(C5),"⚠ Ingresa n para continuar",IF(AND(NOT(ISBLANK(C9)),ISBLANK(C6)),"IC4 — Proporción  →  Distribución Z",IF(AND(NOT(ISBLANK(C10)),ISBLANK(C6),ISBLANK(C9)),"IC5 — Varianza  →  Chi Cuadrada (χ²)",IF(AND(NOT(ISBLANK(C7)),C7&gt;0,NOT(ISBLANK(C6))),"IC1 — Media, σ conocida  →  Distribución Z",IF(AND(C5&gt;=30,NOT(ISBLANK(C6))),"IC2 — Media, σ desconocida, n≥30  →  Z (TLC)","IC3 — Media, σ desconocida, n&lt;30  →  t de Student")))))</f>
        <v>⚠ Ingresa n para continuar</v>
      </c>
      <c r="C13" s="7"/>
      <c r="D13" s="7"/>
      <c r="E13" s="7"/>
      <c r="F13" s="7"/>
    </row>
    <row r="14" spans="2:6" ht="19.5" customHeight="1" x14ac:dyDescent="0.25">
      <c r="B14" s="6" t="s">
        <v>19</v>
      </c>
      <c r="C14" s="6"/>
      <c r="D14" s="6"/>
      <c r="E14" s="6"/>
      <c r="F14" s="6"/>
    </row>
    <row r="15" spans="2:6" ht="18" customHeight="1" x14ac:dyDescent="0.25">
      <c r="B15" s="13" t="s">
        <v>20</v>
      </c>
      <c r="C15" s="17">
        <f>1-C12</f>
        <v>5.0000000000000044E-2</v>
      </c>
      <c r="D15" s="18"/>
      <c r="E15" s="18"/>
      <c r="F15" s="18"/>
    </row>
    <row r="16" spans="2:6" ht="18" customHeight="1" x14ac:dyDescent="0.25">
      <c r="B16" s="13" t="s">
        <v>21</v>
      </c>
      <c r="C16" s="19">
        <f>C5-1</f>
        <v>-1</v>
      </c>
      <c r="D16" s="18"/>
      <c r="E16" s="18"/>
      <c r="F16" s="18"/>
    </row>
    <row r="17" spans="2:6" ht="18" customHeight="1" x14ac:dyDescent="0.25">
      <c r="B17" s="13" t="s">
        <v>22</v>
      </c>
      <c r="C17" s="17" t="str">
        <f>IFERROR(IF(AND(NOT(ISBLANK(C9)),ISBLANK(C6)),C9/C5,"—"),"—")</f>
        <v>—</v>
      </c>
      <c r="D17" s="18"/>
      <c r="E17" s="18"/>
      <c r="F17" s="18"/>
    </row>
    <row r="18" spans="2:6" ht="18" customHeight="1" x14ac:dyDescent="0.25">
      <c r="B18" s="13" t="s">
        <v>23</v>
      </c>
      <c r="C18" s="17" t="str">
        <f>IFERROR(IF(AND(NOT(ISBLANK(C10)),ISBLANK(C6),ISBLANK(C9)),"Ver χ² abajo",IF(OR(AND(NOT(ISBLANK(C7)),C7&gt;0,NOT(ISBLANK(C6))),AND(C5&gt;=30,NOT(ISBLANK(C6)))),_xlfn.NORM.S.INV(1-C15/2),_xlfn.T.INV.2T(C15,C16))),"—")</f>
        <v>—</v>
      </c>
      <c r="D18" s="18"/>
      <c r="E18" s="18"/>
      <c r="F18" s="18"/>
    </row>
    <row r="19" spans="2:6" ht="18" customHeight="1" x14ac:dyDescent="0.25">
      <c r="B19" s="13" t="s">
        <v>24</v>
      </c>
      <c r="C19" s="17" t="str">
        <f>IFERROR(IF(AND(NOT(ISBLANK(C9)),ISBLANK(C6)),SQRT(C17*(1-C17)/C5),IF(AND(NOT(ISBLANK(C10)),ISBLANK(C6),ISBLANK(C9)),"—",IF(AND(NOT(ISBLANK(C7)),C7&gt;0,NOT(ISBLANK(C6))),C7/SQRT(C5),C8/SQRT(C5)))),"—")</f>
        <v>—</v>
      </c>
      <c r="D19" s="18"/>
      <c r="E19" s="18"/>
      <c r="F19" s="18"/>
    </row>
    <row r="20" spans="2:6" ht="18" customHeight="1" x14ac:dyDescent="0.25">
      <c r="B20" s="13" t="s">
        <v>25</v>
      </c>
      <c r="C20" s="17" t="str">
        <f>IFERROR(IF(OR(C18="—",C19="—"),"—",C18*C19),"—")</f>
        <v>—</v>
      </c>
      <c r="D20" s="18"/>
      <c r="E20" s="18"/>
      <c r="F20" s="18"/>
    </row>
    <row r="21" spans="2:6" ht="18" customHeight="1" x14ac:dyDescent="0.25">
      <c r="B21" s="13" t="s">
        <v>26</v>
      </c>
      <c r="C21" s="17">
        <f>IFERROR(IF(AND(NOT(ISBLANK(C9)),ISBLANK(C6)),C17,IF(AND(NOT(ISBLANK(C10)),ISBLANK(C6),ISBLANK(C9)),"—",C6)),"—")</f>
        <v>0</v>
      </c>
      <c r="D21" s="18"/>
      <c r="E21" s="18"/>
      <c r="F21" s="18"/>
    </row>
    <row r="22" spans="2:6" ht="18" customHeight="1" x14ac:dyDescent="0.25">
      <c r="B22" s="13" t="s">
        <v>27</v>
      </c>
      <c r="C22" s="17" t="str">
        <f>IFERROR(IF(AND(NOT(ISBLANK(C10)),ISBLANK(C6),ISBLANK(C9)),_xlfn.CHISQ.INV.RT(C15/2,C16),"—"),"—")</f>
        <v>—</v>
      </c>
      <c r="D22" s="18"/>
      <c r="E22" s="18"/>
      <c r="F22" s="18"/>
    </row>
    <row r="23" spans="2:6" ht="18" customHeight="1" x14ac:dyDescent="0.25">
      <c r="B23" s="13" t="s">
        <v>28</v>
      </c>
      <c r="C23" s="17" t="str">
        <f>IFERROR(IF(AND(NOT(ISBLANK(C10)),ISBLANK(C6),ISBLANK(C9)),_xlfn.CHISQ.INV.RT(1-C15/2,C16),"—"),"—")</f>
        <v>—</v>
      </c>
      <c r="D23" s="18"/>
      <c r="E23" s="18"/>
      <c r="F23" s="18"/>
    </row>
    <row r="24" spans="2:6" ht="19.5" customHeight="1" x14ac:dyDescent="0.25">
      <c r="B24" s="6" t="s">
        <v>29</v>
      </c>
      <c r="C24" s="6"/>
      <c r="D24" s="6"/>
      <c r="E24" s="6"/>
      <c r="F24" s="6"/>
    </row>
    <row r="25" spans="2:6" ht="24" customHeight="1" x14ac:dyDescent="0.25">
      <c r="B25" s="20" t="s">
        <v>30</v>
      </c>
      <c r="C25" s="21" t="str">
        <f>IFERROR(IF(AND(NOT(ISBLANK(C10)),ISBLANK(C6),ISBLANK(C9)),(C5-1)*C10/C22,IF(OR(C21="—",C20="—"),"—",C21-C20)),"—")</f>
        <v>—</v>
      </c>
      <c r="D25" s="21" t="str">
        <f>IFERROR(IF(AND(NOT(ISBLANK(C10)),ISBLANK(C6),ISBLANK(C9)),(C5-1)*C10/C23,IF(OR(C21="—",C20="—"),"—",C21+C20)),"—")</f>
        <v>—</v>
      </c>
      <c r="E25" s="22" t="s">
        <v>31</v>
      </c>
      <c r="F25" s="23"/>
    </row>
    <row r="26" spans="2:6" ht="18" customHeight="1" x14ac:dyDescent="0.25">
      <c r="B26" s="20" t="s">
        <v>32</v>
      </c>
      <c r="C26" s="5" t="str">
        <f>IF(ISBLANK(C5),"⚠ Ingresa n para continuar",IF(AND(NOT(ISBLANK(C9)),ISBLANK(C6)),"IC4 — Proporción  →  Distribución Z",IF(AND(NOT(ISBLANK(C10)),ISBLANK(C6),ISBLANK(C9)),"IC5 — Varianza  →  Chi Cuadrada (χ²)",IF(AND(NOT(ISBLANK(C7)),C7&gt;0,NOT(ISBLANK(C6))),"IC1 — Media, σ conocida  →  Distribución Z",IF(AND(C5&gt;=30,NOT(ISBLANK(C6))),"IC2 — Media, σ desconocida, n≥30  →  Z (TLC)","IC3 — Media, σ desconocida, n&lt;30  →  t de Student")))))</f>
        <v>⚠ Ingresa n para continuar</v>
      </c>
      <c r="D26" s="5"/>
      <c r="E26" s="5"/>
      <c r="F26" s="5"/>
    </row>
    <row r="27" spans="2:6" ht="31.5" customHeight="1" x14ac:dyDescent="0.25">
      <c r="B27" s="4" t="str">
        <f>IF(ISBLANK(C5),"Ingresa los datos para ver la conclusión",IF(OR(C25="—",C26="—"),"Datos insuficientes — revisa los campos ingresados","Con "&amp;TEXT(C12,"0%")&amp;" de confianza, el parámetro estimado se encuentra entre "&amp;TEXT(C25,"0.0000")&amp;" y "&amp;TEXT(C26,"0.0000")))</f>
        <v>Ingresa los datos para ver la conclusión</v>
      </c>
      <c r="C27" s="4"/>
      <c r="D27" s="4"/>
      <c r="E27" s="4"/>
      <c r="F27" s="4"/>
    </row>
  </sheetData>
  <mergeCells count="17">
    <mergeCell ref="C26:F26"/>
    <mergeCell ref="B27:F27"/>
    <mergeCell ref="B11:F11"/>
    <mergeCell ref="D12:F12"/>
    <mergeCell ref="B13:F13"/>
    <mergeCell ref="B14:F14"/>
    <mergeCell ref="B24:F24"/>
    <mergeCell ref="D6:F6"/>
    <mergeCell ref="D7:F7"/>
    <mergeCell ref="D8:F8"/>
    <mergeCell ref="D9:F9"/>
    <mergeCell ref="D10:F10"/>
    <mergeCell ref="B1:F1"/>
    <mergeCell ref="B2:F2"/>
    <mergeCell ref="B3:F3"/>
    <mergeCell ref="B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6"/>
  <sheetViews>
    <sheetView showGridLines="0" zoomScaleNormal="100" workbookViewId="0">
      <selection activeCell="C15" sqref="C15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5" width="14" customWidth="1"/>
    <col min="6" max="6" width="30" customWidth="1"/>
  </cols>
  <sheetData>
    <row r="1" spans="2:6" ht="27.75" customHeight="1" x14ac:dyDescent="0.25">
      <c r="B1" s="12" t="s">
        <v>33</v>
      </c>
      <c r="C1" s="12"/>
      <c r="D1" s="12"/>
      <c r="E1" s="12"/>
      <c r="F1" s="12"/>
    </row>
    <row r="2" spans="2:6" ht="18" customHeight="1" x14ac:dyDescent="0.25">
      <c r="B2" s="11" t="s">
        <v>34</v>
      </c>
      <c r="C2" s="11"/>
      <c r="D2" s="11"/>
      <c r="E2" s="11"/>
      <c r="F2" s="11"/>
    </row>
    <row r="3" spans="2:6" ht="19.5" customHeight="1" x14ac:dyDescent="0.25">
      <c r="B3" s="3" t="s">
        <v>35</v>
      </c>
      <c r="C3" s="3"/>
      <c r="D3" s="3"/>
      <c r="E3" s="3"/>
      <c r="F3" s="3"/>
    </row>
    <row r="4" spans="2:6" ht="18" customHeight="1" x14ac:dyDescent="0.25">
      <c r="B4" s="13" t="s">
        <v>4</v>
      </c>
      <c r="C4" s="14">
        <v>80</v>
      </c>
      <c r="D4" s="8" t="s">
        <v>36</v>
      </c>
      <c r="E4" s="8"/>
      <c r="F4" s="8"/>
    </row>
    <row r="5" spans="2:6" ht="18" customHeight="1" x14ac:dyDescent="0.25">
      <c r="B5" s="13" t="s">
        <v>6</v>
      </c>
      <c r="C5" s="15">
        <v>58</v>
      </c>
      <c r="D5" s="8"/>
      <c r="E5" s="8"/>
      <c r="F5" s="8"/>
    </row>
    <row r="6" spans="2:6" ht="18" customHeight="1" x14ac:dyDescent="0.25">
      <c r="B6" s="13" t="s">
        <v>37</v>
      </c>
      <c r="C6" s="15">
        <v>6</v>
      </c>
      <c r="D6" s="8" t="s">
        <v>38</v>
      </c>
      <c r="E6" s="8"/>
      <c r="F6" s="8"/>
    </row>
    <row r="7" spans="2:6" ht="19.5" customHeight="1" x14ac:dyDescent="0.25">
      <c r="B7" s="3" t="s">
        <v>16</v>
      </c>
      <c r="C7" s="3"/>
      <c r="D7" s="3"/>
      <c r="E7" s="3"/>
      <c r="F7" s="3"/>
    </row>
    <row r="8" spans="2:6" ht="18" customHeight="1" x14ac:dyDescent="0.25">
      <c r="B8" s="13" t="s">
        <v>17</v>
      </c>
      <c r="C8" s="16">
        <v>0.95</v>
      </c>
      <c r="D8" s="8" t="s">
        <v>18</v>
      </c>
      <c r="E8" s="8"/>
      <c r="F8" s="8"/>
    </row>
    <row r="9" spans="2:6" ht="19.5" customHeight="1" x14ac:dyDescent="0.25">
      <c r="B9" s="6" t="s">
        <v>39</v>
      </c>
      <c r="C9" s="6"/>
      <c r="D9" s="6"/>
      <c r="E9" s="6"/>
      <c r="F9" s="6"/>
    </row>
    <row r="10" spans="2:6" ht="18" customHeight="1" x14ac:dyDescent="0.25">
      <c r="B10" s="13" t="s">
        <v>20</v>
      </c>
      <c r="C10" s="17">
        <f>1-C8</f>
        <v>5.0000000000000044E-2</v>
      </c>
      <c r="D10" s="18"/>
      <c r="E10" s="18"/>
      <c r="F10" s="18"/>
    </row>
    <row r="11" spans="2:6" ht="18" customHeight="1" x14ac:dyDescent="0.25">
      <c r="B11" s="13" t="s">
        <v>40</v>
      </c>
      <c r="C11" s="17">
        <f>_xlfn.NORM.S.INV(1-C10/2)</f>
        <v>1.9599639845400536</v>
      </c>
      <c r="D11" s="18"/>
      <c r="E11" s="18"/>
      <c r="F11" s="18"/>
    </row>
    <row r="12" spans="2:6" ht="18" customHeight="1" x14ac:dyDescent="0.25">
      <c r="B12" s="13" t="s">
        <v>41</v>
      </c>
      <c r="C12" s="17">
        <f>C6/SQRT(C4)</f>
        <v>0.67082039324993692</v>
      </c>
      <c r="D12" s="18"/>
      <c r="E12" s="18"/>
      <c r="F12" s="18"/>
    </row>
    <row r="13" spans="2:6" ht="18" customHeight="1" x14ac:dyDescent="0.25">
      <c r="B13" s="13" t="s">
        <v>42</v>
      </c>
      <c r="C13" s="17">
        <f>C11*C12</f>
        <v>1.3147838108648719</v>
      </c>
      <c r="D13" s="18"/>
      <c r="E13" s="18"/>
      <c r="F13" s="18"/>
    </row>
    <row r="14" spans="2:6" ht="19.5" customHeight="1" x14ac:dyDescent="0.25">
      <c r="B14" s="6" t="s">
        <v>29</v>
      </c>
      <c r="C14" s="6"/>
      <c r="D14" s="6"/>
      <c r="E14" s="6"/>
      <c r="F14" s="6"/>
    </row>
    <row r="15" spans="2:6" ht="24" customHeight="1" x14ac:dyDescent="0.25">
      <c r="B15" s="20" t="s">
        <v>30</v>
      </c>
      <c r="C15" s="21">
        <f>C5-C13</f>
        <v>56.685216189135126</v>
      </c>
      <c r="D15" s="21">
        <f>C5+C13</f>
        <v>59.314783810864874</v>
      </c>
      <c r="E15" s="22" t="s">
        <v>31</v>
      </c>
      <c r="F15" s="23"/>
    </row>
    <row r="16" spans="2:6" ht="31.5" customHeight="1" x14ac:dyDescent="0.25">
      <c r="B16" s="4" t="str">
        <f>IF(ISBLANK(C4),"Ingresa los datos para ver la conclusión","Con "&amp;TEXT(C8,"0%")&amp;" de confianza, la media poblacional μ se encuentra entre "&amp;TEXT(C5-C13,"0.0000")&amp;" y "&amp;TEXT(C5+C13,"0.0000"))</f>
        <v>Con 95% de confianza, la media poblacional μ se encuentra entre 56.6852 y 59.3148</v>
      </c>
      <c r="C16" s="4"/>
      <c r="D16" s="4"/>
      <c r="E16" s="4"/>
      <c r="F16" s="4"/>
    </row>
  </sheetData>
  <mergeCells count="11">
    <mergeCell ref="B16:F16"/>
    <mergeCell ref="D6:F6"/>
    <mergeCell ref="B7:F7"/>
    <mergeCell ref="D8:F8"/>
    <mergeCell ref="B9:F9"/>
    <mergeCell ref="B14:F14"/>
    <mergeCell ref="B1:F1"/>
    <mergeCell ref="B2:F2"/>
    <mergeCell ref="B3:F3"/>
    <mergeCell ref="D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6"/>
  <sheetViews>
    <sheetView showGridLines="0" zoomScaleNormal="100" workbookViewId="0">
      <selection activeCell="C4" sqref="C4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5" width="14" customWidth="1"/>
    <col min="6" max="6" width="30" customWidth="1"/>
  </cols>
  <sheetData>
    <row r="1" spans="2:6" ht="27.75" customHeight="1" x14ac:dyDescent="0.25">
      <c r="B1" s="12" t="s">
        <v>43</v>
      </c>
      <c r="C1" s="12"/>
      <c r="D1" s="12"/>
      <c r="E1" s="12"/>
      <c r="F1" s="12"/>
    </row>
    <row r="2" spans="2:6" ht="18" customHeight="1" x14ac:dyDescent="0.25">
      <c r="B2" s="11" t="s">
        <v>44</v>
      </c>
      <c r="C2" s="11"/>
      <c r="D2" s="11"/>
      <c r="E2" s="11"/>
      <c r="F2" s="11"/>
    </row>
    <row r="3" spans="2:6" ht="19.5" customHeight="1" x14ac:dyDescent="0.25">
      <c r="B3" s="3" t="s">
        <v>35</v>
      </c>
      <c r="C3" s="3"/>
      <c r="D3" s="3"/>
      <c r="E3" s="3"/>
      <c r="F3" s="3"/>
    </row>
    <row r="4" spans="2:6" ht="18" customHeight="1" x14ac:dyDescent="0.25">
      <c r="B4" s="13" t="s">
        <v>4</v>
      </c>
      <c r="C4" s="14">
        <v>50</v>
      </c>
      <c r="D4" s="8" t="s">
        <v>45</v>
      </c>
      <c r="E4" s="8"/>
      <c r="F4" s="8"/>
    </row>
    <row r="5" spans="2:6" ht="18" customHeight="1" x14ac:dyDescent="0.25">
      <c r="B5" s="13" t="s">
        <v>6</v>
      </c>
      <c r="C5" s="15">
        <v>74.3</v>
      </c>
      <c r="D5" s="8"/>
      <c r="E5" s="8"/>
      <c r="F5" s="8"/>
    </row>
    <row r="6" spans="2:6" ht="18" customHeight="1" x14ac:dyDescent="0.25">
      <c r="B6" s="13" t="s">
        <v>10</v>
      </c>
      <c r="C6" s="15">
        <v>9.8000000000000007</v>
      </c>
      <c r="D6" s="8" t="s">
        <v>46</v>
      </c>
      <c r="E6" s="8"/>
      <c r="F6" s="8"/>
    </row>
    <row r="7" spans="2:6" ht="19.5" customHeight="1" x14ac:dyDescent="0.25">
      <c r="B7" s="3" t="s">
        <v>16</v>
      </c>
      <c r="C7" s="3"/>
      <c r="D7" s="3"/>
      <c r="E7" s="3"/>
      <c r="F7" s="3"/>
    </row>
    <row r="8" spans="2:6" ht="18" customHeight="1" x14ac:dyDescent="0.25">
      <c r="B8" s="13" t="s">
        <v>17</v>
      </c>
      <c r="C8" s="16">
        <v>0.95</v>
      </c>
      <c r="D8" s="8" t="s">
        <v>18</v>
      </c>
      <c r="E8" s="8"/>
      <c r="F8" s="8"/>
    </row>
    <row r="9" spans="2:6" ht="19.5" customHeight="1" x14ac:dyDescent="0.25">
      <c r="B9" s="6" t="s">
        <v>39</v>
      </c>
      <c r="C9" s="6"/>
      <c r="D9" s="6"/>
      <c r="E9" s="6"/>
      <c r="F9" s="6"/>
    </row>
    <row r="10" spans="2:6" ht="18" customHeight="1" x14ac:dyDescent="0.25">
      <c r="B10" s="13" t="s">
        <v>20</v>
      </c>
      <c r="C10" s="17">
        <f>1-C8</f>
        <v>5.0000000000000044E-2</v>
      </c>
      <c r="D10" s="18"/>
      <c r="E10" s="18"/>
      <c r="F10" s="18"/>
    </row>
    <row r="11" spans="2:6" ht="18" customHeight="1" x14ac:dyDescent="0.25">
      <c r="B11" s="13" t="s">
        <v>40</v>
      </c>
      <c r="C11" s="17">
        <f>_xlfn.NORM.S.INV(1-C10/2)</f>
        <v>1.9599639845400536</v>
      </c>
      <c r="D11" s="18"/>
      <c r="E11" s="18"/>
      <c r="F11" s="18"/>
    </row>
    <row r="12" spans="2:6" ht="18" customHeight="1" x14ac:dyDescent="0.25">
      <c r="B12" s="13" t="s">
        <v>47</v>
      </c>
      <c r="C12" s="17">
        <f>C6/SQRT(C4)</f>
        <v>1.3859292911256331</v>
      </c>
      <c r="D12" s="18"/>
      <c r="E12" s="18"/>
      <c r="F12" s="18"/>
    </row>
    <row r="13" spans="2:6" ht="18" customHeight="1" x14ac:dyDescent="0.25">
      <c r="B13" s="13" t="s">
        <v>42</v>
      </c>
      <c r="C13" s="17">
        <f>C11*C12</f>
        <v>2.716371495725368</v>
      </c>
      <c r="D13" s="18"/>
      <c r="E13" s="18"/>
      <c r="F13" s="18"/>
    </row>
    <row r="14" spans="2:6" ht="19.5" customHeight="1" x14ac:dyDescent="0.25">
      <c r="B14" s="6" t="s">
        <v>29</v>
      </c>
      <c r="C14" s="6"/>
      <c r="D14" s="6"/>
      <c r="E14" s="6"/>
      <c r="F14" s="6"/>
    </row>
    <row r="15" spans="2:6" ht="24" customHeight="1" x14ac:dyDescent="0.25">
      <c r="B15" s="20" t="s">
        <v>30</v>
      </c>
      <c r="C15" s="21">
        <f>C5-C13</f>
        <v>71.583628504274628</v>
      </c>
      <c r="D15" s="21">
        <f>C5+C13</f>
        <v>77.016371495725366</v>
      </c>
      <c r="E15" s="22" t="s">
        <v>31</v>
      </c>
      <c r="F15" s="23"/>
    </row>
    <row r="16" spans="2:6" ht="31.5" customHeight="1" x14ac:dyDescent="0.25">
      <c r="B16" s="4" t="str">
        <f>IF(ISBLANK(C4),"Ingresa los datos para ver la conclusión","Con "&amp;TEXT(C8,"0%")&amp;" de confianza, la media poblacional μ se encuentra entre "&amp;TEXT(C5-C13,"0.0000")&amp;" y "&amp;TEXT(C5+C13,"0.0000"))</f>
        <v>Con 95% de confianza, la media poblacional μ se encuentra entre 71.5836 y 77.0164</v>
      </c>
      <c r="C16" s="4"/>
      <c r="D16" s="4"/>
      <c r="E16" s="4"/>
      <c r="F16" s="4"/>
    </row>
  </sheetData>
  <mergeCells count="11">
    <mergeCell ref="B16:F16"/>
    <mergeCell ref="D6:F6"/>
    <mergeCell ref="B7:F7"/>
    <mergeCell ref="D8:F8"/>
    <mergeCell ref="B9:F9"/>
    <mergeCell ref="B14:F14"/>
    <mergeCell ref="B1:F1"/>
    <mergeCell ref="B2:F2"/>
    <mergeCell ref="B3:F3"/>
    <mergeCell ref="D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7"/>
  <sheetViews>
    <sheetView showGridLines="0" zoomScaleNormal="100" workbookViewId="0">
      <selection activeCell="C13" sqref="C13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5" width="14" customWidth="1"/>
    <col min="6" max="6" width="30" customWidth="1"/>
  </cols>
  <sheetData>
    <row r="1" spans="2:6" ht="27.75" customHeight="1" x14ac:dyDescent="0.25">
      <c r="B1" s="12" t="s">
        <v>48</v>
      </c>
      <c r="C1" s="12"/>
      <c r="D1" s="12"/>
      <c r="E1" s="12"/>
      <c r="F1" s="12"/>
    </row>
    <row r="2" spans="2:6" ht="18" customHeight="1" x14ac:dyDescent="0.25">
      <c r="B2" s="11" t="s">
        <v>49</v>
      </c>
      <c r="C2" s="11"/>
      <c r="D2" s="11"/>
      <c r="E2" s="11"/>
      <c r="F2" s="11"/>
    </row>
    <row r="3" spans="2:6" ht="19.5" customHeight="1" x14ac:dyDescent="0.25">
      <c r="B3" s="3" t="s">
        <v>35</v>
      </c>
      <c r="C3" s="3"/>
      <c r="D3" s="3"/>
      <c r="E3" s="3"/>
      <c r="F3" s="3"/>
    </row>
    <row r="4" spans="2:6" ht="18" customHeight="1" x14ac:dyDescent="0.25">
      <c r="B4" s="13" t="s">
        <v>4</v>
      </c>
      <c r="C4" s="14">
        <v>15</v>
      </c>
      <c r="D4" s="8" t="s">
        <v>50</v>
      </c>
      <c r="E4" s="8"/>
      <c r="F4" s="8"/>
    </row>
    <row r="5" spans="2:6" ht="18" customHeight="1" x14ac:dyDescent="0.25">
      <c r="B5" s="13" t="s">
        <v>6</v>
      </c>
      <c r="C5" s="15">
        <v>68.400000000000006</v>
      </c>
      <c r="D5" s="8"/>
      <c r="E5" s="8"/>
      <c r="F5" s="8"/>
    </row>
    <row r="6" spans="2:6" ht="18" customHeight="1" x14ac:dyDescent="0.25">
      <c r="B6" s="13" t="s">
        <v>10</v>
      </c>
      <c r="C6" s="15">
        <v>7.2</v>
      </c>
      <c r="D6" s="8" t="s">
        <v>46</v>
      </c>
      <c r="E6" s="8"/>
      <c r="F6" s="8"/>
    </row>
    <row r="7" spans="2:6" ht="19.5" customHeight="1" x14ac:dyDescent="0.25">
      <c r="B7" s="3" t="s">
        <v>16</v>
      </c>
      <c r="C7" s="3"/>
      <c r="D7" s="3"/>
      <c r="E7" s="3"/>
      <c r="F7" s="3"/>
    </row>
    <row r="8" spans="2:6" ht="18" customHeight="1" x14ac:dyDescent="0.25">
      <c r="B8" s="13" t="s">
        <v>17</v>
      </c>
      <c r="C8" s="16">
        <v>0.95</v>
      </c>
      <c r="D8" s="8" t="s">
        <v>18</v>
      </c>
      <c r="E8" s="8"/>
      <c r="F8" s="8"/>
    </row>
    <row r="9" spans="2:6" ht="19.5" customHeight="1" x14ac:dyDescent="0.25">
      <c r="B9" s="6" t="s">
        <v>39</v>
      </c>
      <c r="C9" s="6"/>
      <c r="D9" s="6"/>
      <c r="E9" s="6"/>
      <c r="F9" s="6"/>
    </row>
    <row r="10" spans="2:6" ht="18" customHeight="1" x14ac:dyDescent="0.25">
      <c r="B10" s="13" t="s">
        <v>20</v>
      </c>
      <c r="C10" s="17">
        <f>1-C8</f>
        <v>5.0000000000000044E-2</v>
      </c>
      <c r="D10" s="18"/>
      <c r="E10" s="18"/>
      <c r="F10" s="18"/>
    </row>
    <row r="11" spans="2:6" ht="18" customHeight="1" x14ac:dyDescent="0.25">
      <c r="B11" s="13" t="s">
        <v>51</v>
      </c>
      <c r="C11" s="19">
        <f>C4-1</f>
        <v>14</v>
      </c>
      <c r="D11" s="18"/>
      <c r="E11" s="18"/>
      <c r="F11" s="18"/>
    </row>
    <row r="12" spans="2:6" ht="18" customHeight="1" x14ac:dyDescent="0.25">
      <c r="B12" s="13" t="s">
        <v>52</v>
      </c>
      <c r="C12" s="17">
        <f>_xlfn.T.INV.2T(C10,C11)</f>
        <v>2.1447866879178035</v>
      </c>
      <c r="D12" s="18"/>
      <c r="E12" s="18"/>
      <c r="F12" s="18"/>
    </row>
    <row r="13" spans="2:6" ht="18" customHeight="1" x14ac:dyDescent="0.25">
      <c r="B13" s="13" t="s">
        <v>47</v>
      </c>
      <c r="C13" s="17">
        <f>C6/SQRT(C4)</f>
        <v>1.85903200617956</v>
      </c>
      <c r="D13" s="18"/>
      <c r="E13" s="18"/>
      <c r="F13" s="18"/>
    </row>
    <row r="14" spans="2:6" ht="18" customHeight="1" x14ac:dyDescent="0.25">
      <c r="B14" s="13" t="s">
        <v>53</v>
      </c>
      <c r="C14" s="17">
        <f>C12*C13</f>
        <v>3.9872270992670482</v>
      </c>
      <c r="D14" s="18"/>
      <c r="E14" s="18"/>
      <c r="F14" s="18"/>
    </row>
    <row r="15" spans="2:6" ht="19.5" customHeight="1" x14ac:dyDescent="0.25">
      <c r="B15" s="6" t="s">
        <v>29</v>
      </c>
      <c r="C15" s="6"/>
      <c r="D15" s="6"/>
      <c r="E15" s="6"/>
      <c r="F15" s="6"/>
    </row>
    <row r="16" spans="2:6" ht="24" customHeight="1" x14ac:dyDescent="0.25">
      <c r="B16" s="20" t="s">
        <v>30</v>
      </c>
      <c r="C16" s="21">
        <f>C5-C14</f>
        <v>64.412772900732961</v>
      </c>
      <c r="D16" s="21">
        <f>C5+C14</f>
        <v>72.387227099267051</v>
      </c>
      <c r="E16" s="22" t="s">
        <v>31</v>
      </c>
      <c r="F16" s="23"/>
    </row>
    <row r="17" spans="2:6" ht="31.5" customHeight="1" x14ac:dyDescent="0.25">
      <c r="B17" s="4" t="str">
        <f>IF(ISBLANK(C4),"Ingresa los datos para ver la conclusión","Con "&amp;TEXT(C8,"0%")&amp;" de confianza, la media poblacional μ se encuentra entre "&amp;TEXT(C5-C14,"0.0000")&amp;" y "&amp;TEXT(C5+C14,"0.0000"))</f>
        <v>Con 95% de confianza, la media poblacional μ se encuentra entre 64.4128 y 72.3872</v>
      </c>
      <c r="C17" s="4"/>
      <c r="D17" s="4"/>
      <c r="E17" s="4"/>
      <c r="F17" s="4"/>
    </row>
  </sheetData>
  <mergeCells count="11">
    <mergeCell ref="B17:F17"/>
    <mergeCell ref="D6:F6"/>
    <mergeCell ref="B7:F7"/>
    <mergeCell ref="D8:F8"/>
    <mergeCell ref="B9:F9"/>
    <mergeCell ref="B15:F15"/>
    <mergeCell ref="B1:F1"/>
    <mergeCell ref="B2:F2"/>
    <mergeCell ref="B3:F3"/>
    <mergeCell ref="D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0"/>
  <sheetViews>
    <sheetView showGridLines="0" zoomScaleNormal="100" workbookViewId="0">
      <selection activeCell="C16" sqref="C16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5" width="14" customWidth="1"/>
    <col min="6" max="6" width="30" customWidth="1"/>
  </cols>
  <sheetData>
    <row r="1" spans="2:6" ht="27.75" customHeight="1" x14ac:dyDescent="0.25">
      <c r="B1" s="12" t="s">
        <v>54</v>
      </c>
      <c r="C1" s="12"/>
      <c r="D1" s="12"/>
      <c r="E1" s="12"/>
      <c r="F1" s="12"/>
    </row>
    <row r="2" spans="2:6" ht="18" customHeight="1" x14ac:dyDescent="0.25">
      <c r="B2" s="11" t="s">
        <v>55</v>
      </c>
      <c r="C2" s="11"/>
      <c r="D2" s="11"/>
      <c r="E2" s="11"/>
      <c r="F2" s="11"/>
    </row>
    <row r="3" spans="2:6" ht="19.5" customHeight="1" x14ac:dyDescent="0.25">
      <c r="B3" s="3" t="s">
        <v>35</v>
      </c>
      <c r="C3" s="3"/>
      <c r="D3" s="3"/>
      <c r="E3" s="3"/>
      <c r="F3" s="3"/>
    </row>
    <row r="4" spans="2:6" ht="18" customHeight="1" x14ac:dyDescent="0.25">
      <c r="B4" s="13" t="s">
        <v>4</v>
      </c>
      <c r="C4" s="14">
        <v>200</v>
      </c>
      <c r="D4" s="8" t="s">
        <v>36</v>
      </c>
      <c r="E4" s="8"/>
      <c r="F4" s="8"/>
    </row>
    <row r="5" spans="2:6" ht="18" customHeight="1" x14ac:dyDescent="0.25">
      <c r="B5" s="13" t="s">
        <v>56</v>
      </c>
      <c r="C5" s="14">
        <v>80</v>
      </c>
      <c r="D5" s="8" t="s">
        <v>57</v>
      </c>
      <c r="E5" s="8"/>
      <c r="F5" s="8"/>
    </row>
    <row r="6" spans="2:6" ht="18" customHeight="1" x14ac:dyDescent="0.25">
      <c r="B6" s="13" t="s">
        <v>22</v>
      </c>
      <c r="C6" s="15">
        <f>C5/C4</f>
        <v>0.4</v>
      </c>
      <c r="D6" s="8" t="s">
        <v>58</v>
      </c>
      <c r="E6" s="8"/>
      <c r="F6" s="8"/>
    </row>
    <row r="7" spans="2:6" ht="19.5" customHeight="1" x14ac:dyDescent="0.25">
      <c r="B7" s="3" t="s">
        <v>16</v>
      </c>
      <c r="C7" s="3"/>
      <c r="D7" s="3"/>
      <c r="E7" s="3"/>
      <c r="F7" s="3"/>
    </row>
    <row r="8" spans="2:6" ht="18" customHeight="1" x14ac:dyDescent="0.25">
      <c r="B8" s="13" t="s">
        <v>17</v>
      </c>
      <c r="C8" s="16">
        <v>0.95</v>
      </c>
      <c r="D8" s="8" t="s">
        <v>18</v>
      </c>
      <c r="E8" s="8"/>
      <c r="F8" s="8"/>
    </row>
    <row r="9" spans="2:6" ht="19.5" customHeight="1" x14ac:dyDescent="0.25">
      <c r="B9" s="2" t="s">
        <v>59</v>
      </c>
      <c r="C9" s="2"/>
      <c r="D9" s="2"/>
      <c r="E9" s="2"/>
      <c r="F9" s="2"/>
    </row>
    <row r="10" spans="2:6" ht="18" customHeight="1" x14ac:dyDescent="0.25">
      <c r="B10" s="13" t="s">
        <v>60</v>
      </c>
      <c r="C10" s="24">
        <f>C4*C6</f>
        <v>80</v>
      </c>
      <c r="D10" s="18"/>
      <c r="E10" s="18"/>
      <c r="F10" s="18"/>
    </row>
    <row r="11" spans="2:6" ht="18" customHeight="1" x14ac:dyDescent="0.25">
      <c r="B11" s="13" t="s">
        <v>61</v>
      </c>
      <c r="C11" s="24">
        <f>C4*(1-C6)</f>
        <v>120</v>
      </c>
      <c r="D11" s="18"/>
      <c r="E11" s="18"/>
      <c r="F11" s="18"/>
    </row>
    <row r="12" spans="2:6" ht="18" customHeight="1" x14ac:dyDescent="0.25">
      <c r="B12" s="1" t="str">
        <f>IF(AND(C10&gt;=5,C11&gt;=5),"✔  Condiciones cumplidas — aproximación Z válida","✘  Condiciones NO cumplidas — n demasiado pequeño o p̂ extrema")</f>
        <v>✔  Condiciones cumplidas — aproximación Z válida</v>
      </c>
      <c r="C12" s="1"/>
      <c r="D12" s="1"/>
      <c r="E12" s="1"/>
      <c r="F12" s="1"/>
    </row>
    <row r="13" spans="2:6" ht="19.5" customHeight="1" x14ac:dyDescent="0.25">
      <c r="B13" s="6" t="s">
        <v>39</v>
      </c>
      <c r="C13" s="6"/>
      <c r="D13" s="6"/>
      <c r="E13" s="6"/>
      <c r="F13" s="6"/>
    </row>
    <row r="14" spans="2:6" ht="18" customHeight="1" x14ac:dyDescent="0.25">
      <c r="B14" s="13" t="s">
        <v>20</v>
      </c>
      <c r="C14" s="17">
        <f>1-C8</f>
        <v>5.0000000000000044E-2</v>
      </c>
      <c r="D14" s="18"/>
      <c r="E14" s="18"/>
      <c r="F14" s="18"/>
    </row>
    <row r="15" spans="2:6" ht="18" customHeight="1" x14ac:dyDescent="0.25">
      <c r="B15" s="13" t="s">
        <v>40</v>
      </c>
      <c r="C15" s="17">
        <f>_xlfn.NORM.S.INV(1-C14/2)</f>
        <v>1.9599639845400536</v>
      </c>
      <c r="D15" s="18"/>
      <c r="E15" s="18"/>
      <c r="F15" s="18"/>
    </row>
    <row r="16" spans="2:6" ht="18" customHeight="1" x14ac:dyDescent="0.25">
      <c r="B16" s="13" t="s">
        <v>62</v>
      </c>
      <c r="C16" s="17">
        <f>SQRT(C6*(1-C6)/C4)</f>
        <v>3.4641016151377546E-2</v>
      </c>
      <c r="D16" s="18"/>
      <c r="E16" s="18"/>
      <c r="F16" s="18"/>
    </row>
    <row r="17" spans="2:6" ht="18" customHeight="1" x14ac:dyDescent="0.25">
      <c r="B17" s="13" t="s">
        <v>42</v>
      </c>
      <c r="C17" s="17">
        <f>C15*C16</f>
        <v>6.7895144044570283E-2</v>
      </c>
      <c r="D17" s="18"/>
      <c r="E17" s="18"/>
      <c r="F17" s="18"/>
    </row>
    <row r="18" spans="2:6" ht="19.5" customHeight="1" x14ac:dyDescent="0.25">
      <c r="B18" s="6" t="s">
        <v>29</v>
      </c>
      <c r="C18" s="6"/>
      <c r="D18" s="6"/>
      <c r="E18" s="6"/>
      <c r="F18" s="6"/>
    </row>
    <row r="19" spans="2:6" ht="24" customHeight="1" x14ac:dyDescent="0.25">
      <c r="B19" s="20" t="s">
        <v>30</v>
      </c>
      <c r="C19" s="21">
        <f>C6-C17</f>
        <v>0.33210485595542971</v>
      </c>
      <c r="D19" s="21">
        <f>C6+C17</f>
        <v>0.46789514404457033</v>
      </c>
      <c r="E19" s="22" t="s">
        <v>31</v>
      </c>
      <c r="F19" s="23"/>
    </row>
    <row r="20" spans="2:6" ht="31.5" customHeight="1" x14ac:dyDescent="0.25">
      <c r="B20" s="4" t="str">
        <f>IF(ISBLANK(C4),"Ingresa los datos para ver la conclusión","Con "&amp;TEXT(C8,"0%")&amp;" de confianza, la proporción poblacional p se encuentra entre "&amp;TEXT(C6-C17,"0.0000")&amp;" y "&amp;TEXT(C6+C17,"0.0000"))</f>
        <v>Con 95% de confianza, la proporción poblacional p se encuentra entre 0.3321 y 0.4679</v>
      </c>
      <c r="C20" s="4"/>
      <c r="D20" s="4"/>
      <c r="E20" s="4"/>
      <c r="F20" s="4"/>
    </row>
  </sheetData>
  <mergeCells count="13">
    <mergeCell ref="B13:F13"/>
    <mergeCell ref="B18:F18"/>
    <mergeCell ref="B20:F20"/>
    <mergeCell ref="D6:F6"/>
    <mergeCell ref="B7:F7"/>
    <mergeCell ref="D8:F8"/>
    <mergeCell ref="B9:F9"/>
    <mergeCell ref="B12:F12"/>
    <mergeCell ref="B1:F1"/>
    <mergeCell ref="B2:F2"/>
    <mergeCell ref="B3:F3"/>
    <mergeCell ref="D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8"/>
  <sheetViews>
    <sheetView showGridLines="0" zoomScaleNormal="100" workbookViewId="0">
      <selection activeCell="E22" sqref="E22"/>
    </sheetView>
  </sheetViews>
  <sheetFormatPr defaultColWidth="8.7109375" defaultRowHeight="15" x14ac:dyDescent="0.25"/>
  <cols>
    <col min="1" max="1" width="2" customWidth="1"/>
    <col min="2" max="2" width="38" customWidth="1"/>
    <col min="3" max="4" width="16" customWidth="1"/>
    <col min="5" max="5" width="14" customWidth="1"/>
    <col min="6" max="6" width="30" customWidth="1"/>
  </cols>
  <sheetData>
    <row r="1" spans="2:6" ht="27.75" customHeight="1" x14ac:dyDescent="0.25">
      <c r="B1" s="12" t="s">
        <v>63</v>
      </c>
      <c r="C1" s="12"/>
      <c r="D1" s="12"/>
      <c r="E1" s="12"/>
      <c r="F1" s="12"/>
    </row>
    <row r="2" spans="2:6" ht="18" customHeight="1" x14ac:dyDescent="0.25">
      <c r="B2" s="11" t="s">
        <v>64</v>
      </c>
      <c r="C2" s="11"/>
      <c r="D2" s="11"/>
      <c r="E2" s="11"/>
      <c r="F2" s="11"/>
    </row>
    <row r="3" spans="2:6" ht="19.5" customHeight="1" x14ac:dyDescent="0.25">
      <c r="B3" s="3" t="s">
        <v>35</v>
      </c>
      <c r="C3" s="3"/>
      <c r="D3" s="3"/>
      <c r="E3" s="3"/>
      <c r="F3" s="3"/>
    </row>
    <row r="4" spans="2:6" ht="18" customHeight="1" x14ac:dyDescent="0.25">
      <c r="B4" s="13" t="s">
        <v>4</v>
      </c>
      <c r="C4" s="14">
        <v>20</v>
      </c>
      <c r="D4" s="8" t="s">
        <v>65</v>
      </c>
      <c r="E4" s="8"/>
      <c r="F4" s="8"/>
    </row>
    <row r="5" spans="2:6" ht="18" customHeight="1" x14ac:dyDescent="0.25">
      <c r="B5" s="13" t="s">
        <v>66</v>
      </c>
      <c r="C5" s="15">
        <v>16</v>
      </c>
      <c r="D5" s="8" t="s">
        <v>67</v>
      </c>
      <c r="E5" s="8"/>
      <c r="F5" s="8"/>
    </row>
    <row r="6" spans="2:6" ht="18" customHeight="1" x14ac:dyDescent="0.25">
      <c r="B6" s="13" t="s">
        <v>68</v>
      </c>
      <c r="C6" s="15">
        <f>SQRT(C5)</f>
        <v>4</v>
      </c>
      <c r="D6" s="8" t="s">
        <v>69</v>
      </c>
      <c r="E6" s="8"/>
      <c r="F6" s="8"/>
    </row>
    <row r="7" spans="2:6" ht="19.5" customHeight="1" x14ac:dyDescent="0.25">
      <c r="B7" s="3" t="s">
        <v>16</v>
      </c>
      <c r="C7" s="3"/>
      <c r="D7" s="3"/>
      <c r="E7" s="3"/>
      <c r="F7" s="3"/>
    </row>
    <row r="8" spans="2:6" ht="18" customHeight="1" x14ac:dyDescent="0.25">
      <c r="B8" s="13" t="s">
        <v>17</v>
      </c>
      <c r="C8" s="16">
        <v>0.95</v>
      </c>
      <c r="D8" s="8" t="s">
        <v>18</v>
      </c>
      <c r="E8" s="8"/>
      <c r="F8" s="8"/>
    </row>
    <row r="9" spans="2:6" ht="19.5" customHeight="1" x14ac:dyDescent="0.25">
      <c r="B9" s="6" t="s">
        <v>39</v>
      </c>
      <c r="C9" s="6"/>
      <c r="D9" s="6"/>
      <c r="E9" s="6"/>
      <c r="F9" s="6"/>
    </row>
    <row r="10" spans="2:6" ht="18" customHeight="1" x14ac:dyDescent="0.25">
      <c r="B10" s="13" t="s">
        <v>20</v>
      </c>
      <c r="C10" s="17">
        <f>1-C8</f>
        <v>5.0000000000000044E-2</v>
      </c>
      <c r="D10" s="18"/>
      <c r="E10" s="18"/>
      <c r="F10" s="18"/>
    </row>
    <row r="11" spans="2:6" ht="18" customHeight="1" x14ac:dyDescent="0.25">
      <c r="B11" s="13" t="s">
        <v>51</v>
      </c>
      <c r="C11" s="19">
        <f>C4-1</f>
        <v>19</v>
      </c>
      <c r="D11" s="18"/>
      <c r="E11" s="18"/>
      <c r="F11" s="18"/>
    </row>
    <row r="12" spans="2:6" ht="18" customHeight="1" x14ac:dyDescent="0.25">
      <c r="B12" s="13" t="s">
        <v>70</v>
      </c>
      <c r="C12" s="17">
        <f>_xlfn.CHISQ.INV.RT(C10/2,C11)</f>
        <v>32.852326861729708</v>
      </c>
      <c r="D12" s="18"/>
      <c r="E12" s="18"/>
      <c r="F12" s="18"/>
    </row>
    <row r="13" spans="2:6" ht="18" customHeight="1" x14ac:dyDescent="0.25">
      <c r="B13" s="13" t="s">
        <v>71</v>
      </c>
      <c r="C13" s="17">
        <f>_xlfn.CHISQ.INV.RT(1-C10/2,C11)</f>
        <v>8.9065164819879747</v>
      </c>
      <c r="D13" s="18"/>
      <c r="E13" s="18"/>
      <c r="F13" s="18"/>
    </row>
    <row r="14" spans="2:6" ht="19.5" customHeight="1" x14ac:dyDescent="0.25">
      <c r="B14" s="6" t="s">
        <v>72</v>
      </c>
      <c r="C14" s="6"/>
      <c r="D14" s="6"/>
      <c r="E14" s="6"/>
      <c r="F14" s="6"/>
    </row>
    <row r="15" spans="2:6" ht="24" customHeight="1" x14ac:dyDescent="0.25">
      <c r="B15" s="20" t="s">
        <v>30</v>
      </c>
      <c r="C15" s="21">
        <f>(C4-1)*C5/C12</f>
        <v>9.2535302378881212</v>
      </c>
      <c r="D15" s="21">
        <f>(C4-1)*C5/C13</f>
        <v>34.132312067775551</v>
      </c>
      <c r="E15" s="22" t="s">
        <v>31</v>
      </c>
      <c r="F15" s="23"/>
    </row>
    <row r="16" spans="2:6" ht="19.5" customHeight="1" x14ac:dyDescent="0.25">
      <c r="B16" s="6" t="s">
        <v>73</v>
      </c>
      <c r="C16" s="6"/>
      <c r="D16" s="6"/>
      <c r="E16" s="6"/>
      <c r="F16" s="6"/>
    </row>
    <row r="17" spans="2:6" ht="24" customHeight="1" x14ac:dyDescent="0.25">
      <c r="B17" s="20" t="s">
        <v>74</v>
      </c>
      <c r="C17" s="21">
        <f>SQRT((C4-1)*C5/C12)</f>
        <v>3.0419615773194968</v>
      </c>
      <c r="D17" s="21">
        <f>SQRT((C4-1)*C5/C13)</f>
        <v>5.8422865444768757</v>
      </c>
      <c r="E17" s="22" t="s">
        <v>75</v>
      </c>
      <c r="F17" s="23"/>
    </row>
    <row r="18" spans="2:6" ht="31.5" customHeight="1" x14ac:dyDescent="0.25">
      <c r="B18" s="4" t="str">
        <f>IF(ISBLANK(C4),"Ingresa los datos para ver la conclusión","Con "&amp;TEXT(C8,"0%")&amp;" de confianza, la varianza poblacional σ² se encuentra entre "&amp;TEXT((C4-1)*C5/C12,"0.0000")&amp;" y "&amp;TEXT((C4-1)*C5/C13,"0.0000")&amp;"  |  σ entre "&amp;TEXT(SQRT((C4-1)*C5/C12),"0.0000")&amp;" y "&amp;TEXT(SQRT((C4-1)*C5/C13),"0.0000"))</f>
        <v>Con 95% de confianza, la varianza poblacional σ² se encuentra entre 9.2535 y 34.1323  |  σ entre 3.0420 y 5.8423</v>
      </c>
      <c r="C18" s="4"/>
      <c r="D18" s="4"/>
      <c r="E18" s="4"/>
      <c r="F18" s="4"/>
    </row>
  </sheetData>
  <mergeCells count="12">
    <mergeCell ref="B16:F16"/>
    <mergeCell ref="B18:F18"/>
    <mergeCell ref="D6:F6"/>
    <mergeCell ref="B7:F7"/>
    <mergeCell ref="D8:F8"/>
    <mergeCell ref="B9:F9"/>
    <mergeCell ref="B14:F14"/>
    <mergeCell ref="B1:F1"/>
    <mergeCell ref="B2:F2"/>
    <mergeCell ref="B3:F3"/>
    <mergeCell ref="D4:F4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 - Detección de Caso</vt:lpstr>
      <vt:lpstr>IC1 (Z, σ conocida)</vt:lpstr>
      <vt:lpstr>IC2 (Z, n≥30, σ desconocida)</vt:lpstr>
      <vt:lpstr>IC3 (t, n&lt;30, σ desconocida)</vt:lpstr>
      <vt:lpstr>IC4 (Z, Proporción)</vt:lpstr>
      <vt:lpstr>IC5 (χ², Varianza)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Deadlock</cp:lastModifiedBy>
  <cp:revision>0</cp:revision>
  <dcterms:created xsi:type="dcterms:W3CDTF">2026-04-30T22:56:37Z</dcterms:created>
  <dcterms:modified xsi:type="dcterms:W3CDTF">2026-04-30T23:09:12Z</dcterms:modified>
  <dc:language>en-US</dc:language>
</cp:coreProperties>
</file>
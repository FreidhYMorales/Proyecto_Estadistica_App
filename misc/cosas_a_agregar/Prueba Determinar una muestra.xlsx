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rick\Desktop\William\ING EN SISTEMAS\CICLO 5 INGENIERÍA EN SISTEMAS\ESTADÍSTICA II\"/>
    </mc:Choice>
  </mc:AlternateContent>
  <xr:revisionPtr revIDLastSave="0" documentId="13_ncr:1_{5BA8A32E-2ED2-45F5-B1B5-889C52511953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nEstProConN" sheetId="2" r:id="rId1"/>
    <sheet name="nEstProSinN" sheetId="3" r:id="rId2"/>
    <sheet name="nEstMedConN" sheetId="6" r:id="rId3"/>
    <sheet name="nEstMedSinN" sheetId="7" r:id="rId4"/>
  </sheets>
  <definedNames>
    <definedName name="d" localSheetId="2">nEstMedConN!#REF!</definedName>
    <definedName name="d" localSheetId="3">nEstMedSinN!#REF!</definedName>
    <definedName name="d" localSheetId="1">nEstProSinN!#REF!</definedName>
    <definedName name="d">nEstProConN!$H$14</definedName>
    <definedName name="N" localSheetId="2">nEstMedConN!#REF!</definedName>
    <definedName name="N" localSheetId="3">nEstMedSinN!#REF!</definedName>
    <definedName name="N" localSheetId="1">nEstProSinN!#REF!</definedName>
    <definedName name="N">nEstProConN!$H$10</definedName>
    <definedName name="p" localSheetId="2">nEstMedConN!#REF!</definedName>
    <definedName name="p" localSheetId="3">nEstMedSinN!#REF!</definedName>
    <definedName name="p" localSheetId="1">nEstProSinN!#REF!</definedName>
    <definedName name="p">nEstProConN!$H$12</definedName>
    <definedName name="q" localSheetId="2">nEstMedConN!#REF!</definedName>
    <definedName name="q" localSheetId="3">nEstMedSinN!#REF!</definedName>
    <definedName name="q" localSheetId="1">nEstProSinN!#REF!</definedName>
    <definedName name="q">nEstProConN!$H$13</definedName>
    <definedName name="Za" localSheetId="2">nEstMedConN!#REF!</definedName>
    <definedName name="Za" localSheetId="3">nEstMedSinN!#REF!</definedName>
    <definedName name="Za" localSheetId="1">nEstProSinN!#REF!</definedName>
    <definedName name="Za">nEstProConN!$H$11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7" l="1"/>
  <c r="H10" i="7" s="1"/>
  <c r="H14" i="7" s="1"/>
  <c r="H11" i="6"/>
  <c r="H15" i="6" s="1"/>
  <c r="H8" i="6"/>
  <c r="H14" i="3"/>
  <c r="H6" i="3"/>
  <c r="H9" i="3" s="1"/>
  <c r="H13" i="2"/>
  <c r="H8" i="2"/>
  <c r="H11" i="2" s="1"/>
</calcChain>
</file>

<file path=xl/sharedStrings.xml><?xml version="1.0" encoding="utf-8"?>
<sst xmlns="http://schemas.openxmlformats.org/spreadsheetml/2006/main" count="81" uniqueCount="29">
  <si>
    <t>N</t>
  </si>
  <si>
    <t>p</t>
  </si>
  <si>
    <t>q</t>
  </si>
  <si>
    <t>NC</t>
  </si>
  <si>
    <t>N = tamaño de la población</t>
  </si>
  <si>
    <t>p = probabilidad de éxito (proporción esperada)</t>
  </si>
  <si>
    <t>q = probabilidad de fracaso</t>
  </si>
  <si>
    <t>d = precisión (error máximo admisible en términos de proporción)</t>
  </si>
  <si>
    <t>Za</t>
  </si>
  <si>
    <t>d</t>
  </si>
  <si>
    <t>Referencias</t>
  </si>
  <si>
    <t>n</t>
  </si>
  <si>
    <t>Tamaño de la población</t>
  </si>
  <si>
    <t>Tamaño de la muestra</t>
  </si>
  <si>
    <t xml:space="preserve">TAMAÑO DE MUESTRA PARA ESTIMACIÓN DE PROPORCIONES </t>
  </si>
  <si>
    <t>CUANDO SE CONOCE EL TAMAÑO DE LA POBLACIÓN</t>
  </si>
  <si>
    <t>NS (alfa)</t>
  </si>
  <si>
    <t>Za = nivel de confianza (coeficiente equivalente)</t>
  </si>
  <si>
    <t>Nivel de confianza</t>
  </si>
  <si>
    <t>Nivel de significación o significancia</t>
  </si>
  <si>
    <t>Se usa una proporción esperada, según estudios previos. Si no hay, usar 50% (para maximizar la muestra)</t>
  </si>
  <si>
    <t>CUANDO SE DESCONOCE EL TAMAÑO DE LA POBLACIÓN</t>
  </si>
  <si>
    <t>TAMAÑO DE MUESTRA PARA ESTIMACIÓN DE MEDIAS</t>
  </si>
  <si>
    <t>?</t>
  </si>
  <si>
    <t>El tamaño de la muestra adecuado con una proporsión esperada desconocida sería de 9604</t>
  </si>
  <si>
    <t>El tamaño de la muestra adecuado con una proporsión esperada del 10% sería de 3458</t>
  </si>
  <si>
    <t>Respuestas:</t>
  </si>
  <si>
    <t xml:space="preserve">s = desviación estándar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</si>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</sst>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5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i/>
      <sz val="9"/>
      <color theme="5"/>
      <name val="Calibri"/>
      <scheme val="minor"/>
    </font>
    <font>
      <i/>
      <sz val="9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F33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Protection="0"/>
  </cellStyleXfs>
  <cellXfs count="27">
    <xf numFmtId="0" fontId="0" fillId="0" borderId="0" xfId="0"/>
    <xf numFmtId="0" fontId="0" fillId="0" borderId="1" xfId="0" applyBorder="1"/>
    <xf numFmtId="2" fontId="0" fillId="0" borderId="1" xfId="0" applyNumberFormat="1" applyBorder="1"/>
    <xf numFmtId="10" fontId="0" fillId="0" borderId="1" xfId="1" applyNumberFormat="1" applyFont="1" applyBorder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10" fontId="0" fillId="3" borderId="1" xfId="1" applyNumberFormat="1" applyFont="1" applyFill="1" applyBorder="1"/>
    <xf numFmtId="3" fontId="0" fillId="3" borderId="1" xfId="0" applyNumberFormat="1" applyFill="1" applyBorder="1"/>
    <xf numFmtId="0" fontId="4" fillId="0" borderId="0" xfId="0" applyFont="1"/>
    <xf numFmtId="3" fontId="0" fillId="3" borderId="1" xfId="0" applyNumberForma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6" fillId="0" borderId="0" xfId="2" applyFont="1"/>
    <xf numFmtId="0" fontId="5" fillId="0" borderId="0" xfId="2"/>
    <xf numFmtId="0" fontId="5" fillId="0" borderId="2" xfId="2" applyBorder="1"/>
    <xf numFmtId="0" fontId="5" fillId="0" borderId="3" xfId="2" applyBorder="1"/>
    <xf numFmtId="0" fontId="5" fillId="0" borderId="1" xfId="2" applyBorder="1"/>
    <xf numFmtId="10" fontId="0" fillId="6" borderId="1" xfId="3" applyNumberFormat="1" applyFont="1" applyFill="1" applyBorder="1"/>
    <xf numFmtId="0" fontId="7" fillId="0" borderId="0" xfId="2" applyFont="1"/>
    <xf numFmtId="10" fontId="0" fillId="0" borderId="1" xfId="3" applyNumberFormat="1" applyFont="1" applyBorder="1"/>
    <xf numFmtId="0" fontId="5" fillId="0" borderId="4" xfId="2" applyBorder="1"/>
    <xf numFmtId="3" fontId="5" fillId="6" borderId="1" xfId="2" applyNumberFormat="1" applyFill="1" applyBorder="1"/>
    <xf numFmtId="0" fontId="8" fillId="0" borderId="0" xfId="2" applyFont="1"/>
    <xf numFmtId="2" fontId="5" fillId="0" borderId="1" xfId="2" applyNumberFormat="1" applyBorder="1"/>
    <xf numFmtId="0" fontId="0" fillId="6" borderId="1" xfId="3" applyNumberFormat="1" applyFont="1" applyFill="1" applyBorder="1"/>
    <xf numFmtId="3" fontId="5" fillId="7" borderId="1" xfId="2" applyNumberFormat="1" applyFill="1" applyBorder="1"/>
  </cellXfs>
  <cellStyles count="4">
    <cellStyle name="Normal" xfId="0" builtinId="0"/>
    <cellStyle name="Normal 2" xfId="2" xr:uid="{269C3000-A5B3-4D13-97DE-2F2CD9F9AED0}"/>
    <cellStyle name="Porcentaje" xfId="1" builtinId="5"/>
    <cellStyle name="Porcentaje 2" xfId="3" xr:uid="{9B24768A-8DB1-4258-8A7A-330F3AE90DC5}"/>
  </cellStyles>
  <dxfs count="0"/>
  <tableStyles count="0" defaultTableStyle="TableStyleMedium2" defaultPivotStyle="PivotStyleLight16"/>
  <colors>
    <mruColors>
      <color rgb="FFFCF3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145543</xdr:rowOff>
    </xdr:from>
    <xdr:to>
      <xdr:col>3</xdr:col>
      <xdr:colOff>533054</xdr:colOff>
      <xdr:row>7</xdr:row>
      <xdr:rowOff>50186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26543"/>
          <a:ext cx="2771429" cy="857143"/>
        </a:xfrm>
        <a:prstGeom prst="rect">
          <a:avLst/>
        </a:prstGeom>
        <a:ln>
          <a:solidFill>
            <a:schemeClr val="accent5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292958</xdr:colOff>
      <xdr:row>2</xdr:row>
      <xdr:rowOff>115197</xdr:rowOff>
    </xdr:from>
    <xdr:to>
      <xdr:col>2</xdr:col>
      <xdr:colOff>365450</xdr:colOff>
      <xdr:row>7</xdr:row>
      <xdr:rowOff>133910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52ED1D-CB55-2E2F-E817-86BCCC7A5B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291" t="13984" r="9491" b="11201"/>
        <a:stretch>
          <a:fillRect/>
        </a:stretch>
      </xdr:blipFill>
      <xdr:spPr>
        <a:xfrm>
          <a:off x="292958" y="488421"/>
          <a:ext cx="1658696" cy="951775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333374</xdr:colOff>
      <xdr:row>2</xdr:row>
      <xdr:rowOff>76199</xdr:rowOff>
    </xdr:from>
    <xdr:ext cx="2400299" cy="895349"/>
    <xdr:pic>
      <xdr:nvPicPr>
        <xdr:cNvPr id="2" name="Imagen 1">
          <a:extLst>
            <a:ext uri="{FF2B5EF4-FFF2-40B4-BE49-F238E27FC236}">
              <a16:creationId xmlns:a16="http://schemas.microsoft.com/office/drawing/2014/main" id="{CEBB8D15-439A-4C9B-87A4-6BCDD19AA4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333374" y="441959"/>
          <a:ext cx="2400299" cy="89534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619124</xdr:colOff>
      <xdr:row>2</xdr:row>
      <xdr:rowOff>123824</xdr:rowOff>
    </xdr:from>
    <xdr:ext cx="1571625" cy="638174"/>
    <xdr:pic>
      <xdr:nvPicPr>
        <xdr:cNvPr id="2" name="Imagen 1">
          <a:extLst>
            <a:ext uri="{FF2B5EF4-FFF2-40B4-BE49-F238E27FC236}">
              <a16:creationId xmlns:a16="http://schemas.microsoft.com/office/drawing/2014/main" id="{BF7D7EA0-2E94-4BFC-94FA-614E7AB1DE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619124" y="489584"/>
          <a:ext cx="1571625" cy="6381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showGridLines="0" tabSelected="1" zoomScale="71" zoomScaleNormal="130" workbookViewId="0">
      <selection activeCell="H11" sqref="H11"/>
    </sheetView>
  </sheetViews>
  <sheetFormatPr baseColWidth="10" defaultRowHeight="14.4" x14ac:dyDescent="0.3"/>
  <sheetData>
    <row r="1" spans="1:9" x14ac:dyDescent="0.3">
      <c r="A1" s="4" t="s">
        <v>14</v>
      </c>
    </row>
    <row r="2" spans="1:9" x14ac:dyDescent="0.3">
      <c r="A2" t="s">
        <v>15</v>
      </c>
    </row>
    <row r="7" spans="1:9" x14ac:dyDescent="0.3">
      <c r="G7" s="1" t="s">
        <v>3</v>
      </c>
      <c r="H7" s="7">
        <v>0.95</v>
      </c>
      <c r="I7" s="9" t="s">
        <v>18</v>
      </c>
    </row>
    <row r="8" spans="1:9" x14ac:dyDescent="0.3">
      <c r="G8" s="1" t="s">
        <v>16</v>
      </c>
      <c r="H8" s="3">
        <f>1-H7</f>
        <v>5.0000000000000044E-2</v>
      </c>
      <c r="I8" s="9" t="s">
        <v>19</v>
      </c>
    </row>
    <row r="9" spans="1:9" x14ac:dyDescent="0.3">
      <c r="A9" t="s">
        <v>10</v>
      </c>
    </row>
    <row r="10" spans="1:9" x14ac:dyDescent="0.3">
      <c r="A10" t="s">
        <v>4</v>
      </c>
      <c r="G10" s="1" t="s">
        <v>0</v>
      </c>
      <c r="H10" s="8">
        <v>1000</v>
      </c>
      <c r="I10" s="5" t="s">
        <v>12</v>
      </c>
    </row>
    <row r="11" spans="1:9" x14ac:dyDescent="0.3">
      <c r="A11" t="s">
        <v>17</v>
      </c>
      <c r="G11" s="1" t="s">
        <v>8</v>
      </c>
      <c r="H11" s="2">
        <f>_xlfn.NORM.S.INV(H7+H8/2)</f>
        <v>1.9599639845400536</v>
      </c>
    </row>
    <row r="12" spans="1:9" x14ac:dyDescent="0.3">
      <c r="A12" t="s">
        <v>5</v>
      </c>
      <c r="G12" s="1" t="s">
        <v>1</v>
      </c>
      <c r="H12" s="7">
        <v>0.57999999999999996</v>
      </c>
      <c r="I12" s="5" t="s">
        <v>20</v>
      </c>
    </row>
    <row r="13" spans="1:9" x14ac:dyDescent="0.3">
      <c r="A13" t="s">
        <v>6</v>
      </c>
      <c r="G13" s="1" t="s">
        <v>2</v>
      </c>
      <c r="H13" s="3">
        <f>1-p</f>
        <v>0.42000000000000004</v>
      </c>
    </row>
    <row r="14" spans="1:9" x14ac:dyDescent="0.3">
      <c r="A14" t="s">
        <v>7</v>
      </c>
      <c r="G14" s="1" t="s">
        <v>9</v>
      </c>
      <c r="H14" s="7">
        <v>0.01</v>
      </c>
    </row>
    <row r="16" spans="1:9" x14ac:dyDescent="0.3">
      <c r="G16" s="1" t="s">
        <v>11</v>
      </c>
      <c r="H16" s="6"/>
      <c r="I16" s="5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9FBB5-BE14-4472-8065-7259AA4FB021}">
  <dimension ref="A1:I18"/>
  <sheetViews>
    <sheetView showGridLines="0" zoomScale="85" zoomScaleNormal="110" workbookViewId="0">
      <selection activeCell="C17" sqref="C17"/>
    </sheetView>
  </sheetViews>
  <sheetFormatPr baseColWidth="10" defaultRowHeight="14.4" x14ac:dyDescent="0.3"/>
  <sheetData>
    <row r="1" spans="1:9" x14ac:dyDescent="0.3">
      <c r="A1" s="4" t="s">
        <v>14</v>
      </c>
    </row>
    <row r="2" spans="1:9" x14ac:dyDescent="0.3">
      <c r="A2" t="s">
        <v>21</v>
      </c>
    </row>
    <row r="5" spans="1:9" x14ac:dyDescent="0.3">
      <c r="G5" s="1" t="s">
        <v>3</v>
      </c>
      <c r="H5" s="7">
        <v>0.95</v>
      </c>
      <c r="I5" s="9" t="s">
        <v>18</v>
      </c>
    </row>
    <row r="6" spans="1:9" x14ac:dyDescent="0.3">
      <c r="G6" s="1" t="s">
        <v>16</v>
      </c>
      <c r="H6" s="3">
        <f>1-H5</f>
        <v>5.0000000000000044E-2</v>
      </c>
      <c r="I6" s="9" t="s">
        <v>19</v>
      </c>
    </row>
    <row r="8" spans="1:9" x14ac:dyDescent="0.3">
      <c r="G8" s="1" t="s">
        <v>0</v>
      </c>
      <c r="H8" s="10" t="s">
        <v>23</v>
      </c>
      <c r="I8" s="5" t="s">
        <v>12</v>
      </c>
    </row>
    <row r="9" spans="1:9" x14ac:dyDescent="0.3">
      <c r="A9" s="12" t="s">
        <v>10</v>
      </c>
      <c r="G9" s="1" t="s">
        <v>8</v>
      </c>
      <c r="H9" s="2">
        <f>_xlfn.NORM.S.INV(H5+H6/2)</f>
        <v>1.9599639845400536</v>
      </c>
    </row>
    <row r="10" spans="1:9" x14ac:dyDescent="0.3">
      <c r="A10" t="s">
        <v>4</v>
      </c>
      <c r="G10" s="1" t="s">
        <v>1</v>
      </c>
      <c r="H10" s="7">
        <v>0.5</v>
      </c>
      <c r="I10" s="5" t="s">
        <v>20</v>
      </c>
    </row>
    <row r="11" spans="1:9" x14ac:dyDescent="0.3">
      <c r="A11" t="s">
        <v>17</v>
      </c>
      <c r="G11" s="1" t="s">
        <v>2</v>
      </c>
      <c r="H11" s="3">
        <v>0.5</v>
      </c>
    </row>
    <row r="12" spans="1:9" x14ac:dyDescent="0.3">
      <c r="A12" t="s">
        <v>5</v>
      </c>
      <c r="G12" s="1" t="s">
        <v>9</v>
      </c>
      <c r="H12" s="7">
        <v>0.01</v>
      </c>
    </row>
    <row r="13" spans="1:9" x14ac:dyDescent="0.3">
      <c r="A13" t="s">
        <v>6</v>
      </c>
    </row>
    <row r="14" spans="1:9" x14ac:dyDescent="0.3">
      <c r="A14" t="s">
        <v>7</v>
      </c>
      <c r="G14" s="1" t="s">
        <v>11</v>
      </c>
      <c r="H14" s="6">
        <f>ROUNDUP(((H9^2)*H10*H11)/(H12^2),0)</f>
        <v>9604</v>
      </c>
      <c r="I14" s="5" t="s">
        <v>13</v>
      </c>
    </row>
    <row r="16" spans="1:9" x14ac:dyDescent="0.3">
      <c r="A16" s="11" t="s">
        <v>26</v>
      </c>
    </row>
    <row r="17" spans="1:1" x14ac:dyDescent="0.3">
      <c r="A17" t="s">
        <v>25</v>
      </c>
    </row>
    <row r="18" spans="1:1" x14ac:dyDescent="0.3">
      <c r="A18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8587-9089-439A-99EE-DD94384335D4}">
  <dimension ref="A1:I15"/>
  <sheetViews>
    <sheetView showGridLines="0" zoomScale="130" workbookViewId="0">
      <selection activeCell="I9" sqref="I9"/>
    </sheetView>
  </sheetViews>
  <sheetFormatPr baseColWidth="10" defaultRowHeight="14.4" x14ac:dyDescent="0.3"/>
  <cols>
    <col min="1" max="16384" width="11.5546875" style="14"/>
  </cols>
  <sheetData>
    <row r="1" spans="1:9" x14ac:dyDescent="0.3">
      <c r="A1" s="13" t="s">
        <v>22</v>
      </c>
    </row>
    <row r="2" spans="1:9" x14ac:dyDescent="0.3">
      <c r="A2" s="14" t="s">
        <v>15</v>
      </c>
    </row>
    <row r="6" spans="1:9" x14ac:dyDescent="0.3">
      <c r="G6" s="15"/>
      <c r="H6" s="15"/>
    </row>
    <row r="7" spans="1:9" x14ac:dyDescent="0.3">
      <c r="F7" s="16"/>
      <c r="G7" s="17" t="s">
        <v>3</v>
      </c>
      <c r="H7" s="18">
        <v>0.95</v>
      </c>
      <c r="I7" s="19" t="s">
        <v>18</v>
      </c>
    </row>
    <row r="8" spans="1:9" x14ac:dyDescent="0.3">
      <c r="F8" s="16"/>
      <c r="G8" s="17" t="s">
        <v>16</v>
      </c>
      <c r="H8" s="20">
        <f>100%-H7</f>
        <v>5.0000000000000044E-2</v>
      </c>
      <c r="I8" s="19" t="s">
        <v>19</v>
      </c>
    </row>
    <row r="9" spans="1:9" x14ac:dyDescent="0.3">
      <c r="A9" s="14" t="s">
        <v>10</v>
      </c>
      <c r="G9" s="21"/>
      <c r="H9" s="21"/>
    </row>
    <row r="10" spans="1:9" x14ac:dyDescent="0.3">
      <c r="A10" s="14" t="s">
        <v>4</v>
      </c>
      <c r="F10" s="16"/>
      <c r="G10" s="17" t="s">
        <v>0</v>
      </c>
      <c r="H10" s="22">
        <v>15000</v>
      </c>
      <c r="I10" s="23" t="s">
        <v>12</v>
      </c>
    </row>
    <row r="11" spans="1:9" x14ac:dyDescent="0.3">
      <c r="A11" s="14" t="s">
        <v>17</v>
      </c>
      <c r="F11" s="16"/>
      <c r="G11" s="17" t="s">
        <v>8</v>
      </c>
      <c r="H11" s="24">
        <f>_xlfn.NORM.S.INV(H7+H8/2)</f>
        <v>1.9599639845400536</v>
      </c>
    </row>
    <row r="12" spans="1:9" x14ac:dyDescent="0.3">
      <c r="A12" s="14" t="s">
        <v>27</v>
      </c>
      <c r="F12" s="16"/>
      <c r="G12" s="17" t="s">
        <v>28</v>
      </c>
      <c r="H12" s="25">
        <v>0.5</v>
      </c>
      <c r="I12" s="23" t="s">
        <v>20</v>
      </c>
    </row>
    <row r="13" spans="1:9" x14ac:dyDescent="0.3">
      <c r="A13" s="14" t="s">
        <v>7</v>
      </c>
      <c r="F13" s="16"/>
      <c r="G13" s="17" t="s">
        <v>9</v>
      </c>
      <c r="H13" s="18">
        <v>0.01</v>
      </c>
    </row>
    <row r="14" spans="1:9" x14ac:dyDescent="0.3">
      <c r="G14" s="21"/>
      <c r="H14" s="21"/>
    </row>
    <row r="15" spans="1:9" x14ac:dyDescent="0.3">
      <c r="F15" s="16"/>
      <c r="G15" s="17" t="s">
        <v>11</v>
      </c>
      <c r="H15" s="26">
        <f>ROUNDUP(((H10*((H11)^2)*((H12)^2))/(((H13)^2)*(H10-1)+((H11)^2)*((H12)^2))),0)</f>
        <v>5856</v>
      </c>
      <c r="I15" s="23" t="s">
        <v>13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C333-FA83-49D5-877D-3E02783283B0}">
  <dimension ref="A1:I14"/>
  <sheetViews>
    <sheetView showGridLines="0" zoomScale="130" workbookViewId="0">
      <selection activeCell="J17" sqref="J17"/>
    </sheetView>
  </sheetViews>
  <sheetFormatPr baseColWidth="10" defaultRowHeight="14.4" x14ac:dyDescent="0.3"/>
  <cols>
    <col min="1" max="16384" width="11.5546875" style="14"/>
  </cols>
  <sheetData>
    <row r="1" spans="1:9" x14ac:dyDescent="0.3">
      <c r="A1" s="13" t="s">
        <v>22</v>
      </c>
    </row>
    <row r="2" spans="1:9" x14ac:dyDescent="0.3">
      <c r="A2" s="14" t="s">
        <v>21</v>
      </c>
    </row>
    <row r="6" spans="1:9" x14ac:dyDescent="0.3">
      <c r="G6" s="15"/>
      <c r="H6" s="15"/>
    </row>
    <row r="7" spans="1:9" x14ac:dyDescent="0.3">
      <c r="F7" s="16"/>
      <c r="G7" s="17" t="s">
        <v>3</v>
      </c>
      <c r="H7" s="18">
        <v>0.95</v>
      </c>
      <c r="I7" s="19" t="s">
        <v>18</v>
      </c>
    </row>
    <row r="8" spans="1:9" x14ac:dyDescent="0.3">
      <c r="F8" s="16"/>
      <c r="G8" s="17" t="s">
        <v>16</v>
      </c>
      <c r="H8" s="20">
        <f>100%-H7</f>
        <v>5.0000000000000044E-2</v>
      </c>
      <c r="I8" s="19" t="s">
        <v>19</v>
      </c>
    </row>
    <row r="9" spans="1:9" x14ac:dyDescent="0.3">
      <c r="A9" s="14" t="s">
        <v>10</v>
      </c>
      <c r="G9" s="21"/>
      <c r="H9" s="21"/>
    </row>
    <row r="10" spans="1:9" x14ac:dyDescent="0.3">
      <c r="A10" s="14" t="s">
        <v>17</v>
      </c>
      <c r="F10" s="16"/>
      <c r="G10" s="17" t="s">
        <v>8</v>
      </c>
      <c r="H10" s="24">
        <f>_xlfn.NORM.S.INV(H7+H8/2)</f>
        <v>1.9599639845400536</v>
      </c>
    </row>
    <row r="11" spans="1:9" x14ac:dyDescent="0.3">
      <c r="A11" s="14" t="s">
        <v>27</v>
      </c>
      <c r="F11" s="16"/>
      <c r="G11" s="17" t="s">
        <v>28</v>
      </c>
      <c r="H11" s="18">
        <v>0.5</v>
      </c>
      <c r="I11" s="23" t="s">
        <v>20</v>
      </c>
    </row>
    <row r="12" spans="1:9" x14ac:dyDescent="0.3">
      <c r="A12" s="14" t="s">
        <v>7</v>
      </c>
      <c r="F12" s="16"/>
      <c r="G12" s="17" t="s">
        <v>9</v>
      </c>
      <c r="H12" s="18">
        <v>0.01</v>
      </c>
    </row>
    <row r="13" spans="1:9" x14ac:dyDescent="0.3">
      <c r="G13" s="21"/>
      <c r="H13" s="21"/>
    </row>
    <row r="14" spans="1:9" x14ac:dyDescent="0.3">
      <c r="F14" s="16"/>
      <c r="G14" s="17" t="s">
        <v>11</v>
      </c>
      <c r="H14" s="26">
        <f>ROUNDUP((((H10)^2)*((H11)^2)/((H12)^2)),0)</f>
        <v>9604</v>
      </c>
      <c r="I14" s="23" t="s">
        <v>13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nEstProConN</vt:lpstr>
      <vt:lpstr>nEstProSinN</vt:lpstr>
      <vt:lpstr>nEstMedConN</vt:lpstr>
      <vt:lpstr>nEstMedSinN</vt:lpstr>
      <vt:lpstr>d</vt:lpstr>
      <vt:lpstr>N</vt:lpstr>
      <vt:lpstr>p</vt:lpstr>
      <vt:lpstr>q</vt:lpstr>
      <vt:lpstr>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247425 - ERICK WILLIAM TAMBITO MALDONADO</cp:lastModifiedBy>
  <dcterms:created xsi:type="dcterms:W3CDTF">2014-10-12T00:02:02Z</dcterms:created>
  <dcterms:modified xsi:type="dcterms:W3CDTF">2026-03-26T03:22:21Z</dcterms:modified>
</cp:coreProperties>
</file>
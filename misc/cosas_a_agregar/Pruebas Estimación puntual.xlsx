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esktop\William\ING EN SISTEMAS\CICLO 5 INGENIERÍA EN SISTEMAS\ESTADÍSTICA II\"/>
    </mc:Choice>
  </mc:AlternateContent>
  <xr:revisionPtr revIDLastSave="0" documentId="13_ncr:1_{070CBCF5-E98B-4B5F-A752-68530F9E8D08}" xr6:coauthVersionLast="47" xr6:coauthVersionMax="47" xr10:uidLastSave="{00000000-0000-0000-0000-000000000000}"/>
  <bookViews>
    <workbookView xWindow="11424" yWindow="0" windowWidth="11712" windowHeight="13776" activeTab="1" xr2:uid="{ABBF54F8-A770-4D00-98DB-3001E7044673}"/>
  </bookViews>
  <sheets>
    <sheet name="Proporciones" sheetId="1" r:id="rId1"/>
    <sheet name="Promedios" sheetId="2" r:id="rId2"/>
  </sheets>
  <definedNames>
    <definedName name="d" localSheetId="1">Promedios!$H$25</definedName>
    <definedName name="d">Proporciones!$H$25</definedName>
    <definedName name="N" localSheetId="1">Promedios!#REF!</definedName>
    <definedName name="N">Proporciones!#REF!</definedName>
    <definedName name="p" localSheetId="1">Promedios!#REF!</definedName>
    <definedName name="p">Proporciones!#REF!</definedName>
    <definedName name="q" localSheetId="1">Promedios!$H$24</definedName>
    <definedName name="q">Proporciones!$H$24</definedName>
    <definedName name="Za" localSheetId="1">Promedios!#REF!</definedName>
    <definedName name="Za">Proporciones!#REF!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F32" i="2" l="1"/>
  <c r="E32" i="2"/>
  <c r="B16" i="2"/>
  <c r="B19" i="2" s="1"/>
  <c r="C25" i="2" s="1"/>
  <c r="F32" i="1"/>
  <c r="E32" i="1"/>
  <c r="B25" i="1"/>
  <c r="B26" i="1"/>
  <c r="B27" i="1"/>
  <c r="B28" i="1"/>
  <c r="B29" i="1"/>
  <c r="B30" i="1"/>
  <c r="B31" i="1"/>
  <c r="B32" i="1"/>
  <c r="B24" i="1"/>
  <c r="B17" i="1"/>
  <c r="B20" i="1" s="1"/>
  <c r="C30" i="1" s="1"/>
  <c r="C28" i="2" l="1"/>
  <c r="C31" i="2"/>
  <c r="C27" i="2"/>
  <c r="C32" i="2"/>
  <c r="C30" i="2"/>
  <c r="C26" i="2"/>
  <c r="C29" i="2"/>
  <c r="C24" i="2"/>
  <c r="C32" i="1"/>
  <c r="C31" i="1"/>
  <c r="C28" i="1"/>
  <c r="C27" i="1"/>
  <c r="C24" i="1"/>
  <c r="C29" i="1"/>
  <c r="C26" i="1"/>
  <c r="C25" i="1"/>
</calcChain>
</file>

<file path=xl/sharedStrings.xml><?xml version="1.0" encoding="utf-8"?>
<sst xmlns="http://schemas.openxmlformats.org/spreadsheetml/2006/main" count="64" uniqueCount="39">
  <si>
    <t>NC</t>
  </si>
  <si>
    <t>Nivel de confianza</t>
  </si>
  <si>
    <t>NS (alfa)</t>
  </si>
  <si>
    <t>Nivel de significación o significancia</t>
  </si>
  <si>
    <t>N</t>
  </si>
  <si>
    <t>Tamaño de la población</t>
  </si>
  <si>
    <t>Za</t>
  </si>
  <si>
    <t>p</t>
  </si>
  <si>
    <t>q</t>
  </si>
  <si>
    <t>d</t>
  </si>
  <si>
    <t>n</t>
  </si>
  <si>
    <t>Parámetro</t>
  </si>
  <si>
    <t>Estadísitico</t>
  </si>
  <si>
    <t>Media muestral</t>
  </si>
  <si>
    <t>Lo que deseamos estimar</t>
  </si>
  <si>
    <t>Lo que servirá para estimar</t>
  </si>
  <si>
    <t>Desconocido</t>
  </si>
  <si>
    <t>Conocido</t>
  </si>
  <si>
    <t>Estimador puntual</t>
  </si>
  <si>
    <t>Límite inf</t>
  </si>
  <si>
    <t>Límite sup</t>
  </si>
  <si>
    <t>Proporción poblacional</t>
  </si>
  <si>
    <t>Proporción muestral</t>
  </si>
  <si>
    <t xml:space="preserve">TAMAÑO DE MUESTRA PARA ESTIMACIÓN DE PROPORCIONES </t>
  </si>
  <si>
    <t>CUANDO SE CONOCE EL TAMAÑO DE LA POBLACIÓN</t>
  </si>
  <si>
    <t>Referencias</t>
  </si>
  <si>
    <t>N = tamaño de la población</t>
  </si>
  <si>
    <t>Za = nivel de confianza (coeficiente equivalente)</t>
  </si>
  <si>
    <t>p = probabilidad de éxito (proporción esperada)</t>
  </si>
  <si>
    <t>q = probabilidad de fracaso</t>
  </si>
  <si>
    <t>d = precisión (error máximo admisible en términos de proporción)</t>
  </si>
  <si>
    <t>𝑠 = desviación estándar (obtenida de otros estudios o de prueba piloto)</t>
  </si>
  <si>
    <t>s</t>
  </si>
  <si>
    <t>Media poblacional</t>
  </si>
  <si>
    <t>TAMAÑO DE MUESTRA PARA ESTIMACIÓN DE MEDIAS</t>
  </si>
  <si>
    <t>Parámetro: porcentaje de hombres desempleados en la cabecera de Huehuetenango</t>
  </si>
  <si>
    <t>Variable: disposición de empleo de los hombres que viven en la cabecera de Huehuetenango</t>
  </si>
  <si>
    <t>Variable: ingreso mensual de los maestros que viven en la cabecera de Huehuetenango</t>
  </si>
  <si>
    <t>Parámetro: promedio de ingresos mensuales de los maestros que viven en la cabecera de Huehuetenango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</si>
</sst>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Q&quot;* #,##0.00_-;\-&quot;Q&quot;* #,##0.00_-;_-&quot;Q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5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0" fontId="0" fillId="2" borderId="1" xfId="1" applyNumberFormat="1" applyFont="1" applyFill="1" applyBorder="1"/>
    <xf numFmtId="0" fontId="3" fillId="0" borderId="0" xfId="0" applyFont="1"/>
    <xf numFmtId="10" fontId="0" fillId="0" borderId="1" xfId="1" applyNumberFormat="1" applyFont="1" applyBorder="1"/>
    <xf numFmtId="3" fontId="0" fillId="2" borderId="1" xfId="0" applyNumberFormat="1" applyFill="1" applyBorder="1"/>
    <xf numFmtId="0" fontId="4" fillId="0" borderId="0" xfId="0" applyFont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1" xfId="0" applyFont="1" applyBorder="1"/>
    <xf numFmtId="0" fontId="2" fillId="0" borderId="0" xfId="0" applyFont="1"/>
    <xf numFmtId="164" fontId="0" fillId="0" borderId="1" xfId="2" applyFont="1" applyBorder="1" applyAlignment="1">
      <alignment horizontal="center"/>
    </xf>
    <xf numFmtId="164" fontId="2" fillId="0" borderId="1" xfId="2" applyFont="1" applyBorder="1" applyAlignment="1">
      <alignment horizontal="center"/>
    </xf>
    <xf numFmtId="9" fontId="2" fillId="2" borderId="1" xfId="1" applyFont="1" applyFill="1" applyBorder="1" applyAlignment="1">
      <alignment horizontal="center"/>
    </xf>
    <xf numFmtId="10" fontId="0" fillId="4" borderId="1" xfId="1" applyNumberFormat="1" applyFont="1" applyFill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0" fillId="2" borderId="1" xfId="2" applyFont="1" applyFill="1" applyBorder="1"/>
    <xf numFmtId="164" fontId="0" fillId="4" borderId="1" xfId="2" applyFont="1" applyFill="1" applyBorder="1" applyAlignment="1">
      <alignment horizontal="center"/>
    </xf>
    <xf numFmtId="0" fontId="0" fillId="0" borderId="1" xfId="0" applyBorder="1"/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145543</xdr:rowOff>
    </xdr:from>
    <xdr:to>
      <xdr:col>3</xdr:col>
      <xdr:colOff>533054</xdr:colOff>
      <xdr:row>7</xdr:row>
      <xdr:rowOff>50186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B179CE-3A1A-4A31-BB3D-F617C3423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526543"/>
          <a:ext cx="2771429" cy="857143"/>
        </a:xfrm>
        <a:prstGeom prst="rect">
          <a:avLst/>
        </a:prstGeom>
        <a:ln>
          <a:solidFill>
            <a:schemeClr val="accent5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33130</xdr:colOff>
      <xdr:row>2</xdr:row>
      <xdr:rowOff>132521</xdr:rowOff>
    </xdr:from>
    <xdr:to>
      <xdr:col>3</xdr:col>
      <xdr:colOff>544600</xdr:colOff>
      <xdr:row>7</xdr:row>
      <xdr:rowOff>41412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9213C2-B165-4A01-9FD5-B6A818E00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30" y="513521"/>
          <a:ext cx="2797470" cy="86139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F407-EBE2-4EED-AAE3-D03FF761AEA4}">
  <dimension ref="A1:I32"/>
  <sheetViews>
    <sheetView topLeftCell="A5" zoomScale="92" zoomScaleNormal="100" workbookViewId="0">
      <selection activeCell="G29" sqref="G29"/>
    </sheetView>
  </sheetViews>
  <sheetFormatPr baseColWidth="10" defaultRowHeight="14.4" x14ac:dyDescent="0.3"/>
  <sheetData>
    <row r="1" spans="1:3" x14ac:dyDescent="0.3">
      <c r="A1" s="13" t="s">
        <v>23</v>
      </c>
    </row>
    <row r="2" spans="1:3" x14ac:dyDescent="0.3">
      <c r="A2" t="s">
        <v>24</v>
      </c>
    </row>
    <row r="9" spans="1:3" x14ac:dyDescent="0.3">
      <c r="A9" t="s">
        <v>25</v>
      </c>
    </row>
    <row r="10" spans="1:3" x14ac:dyDescent="0.3">
      <c r="A10" t="s">
        <v>26</v>
      </c>
    </row>
    <row r="11" spans="1:3" x14ac:dyDescent="0.3">
      <c r="A11" t="s">
        <v>27</v>
      </c>
    </row>
    <row r="12" spans="1:3" x14ac:dyDescent="0.3">
      <c r="A12" t="s">
        <v>28</v>
      </c>
    </row>
    <row r="13" spans="1:3" x14ac:dyDescent="0.3">
      <c r="A13" t="s">
        <v>29</v>
      </c>
    </row>
    <row r="14" spans="1:3" x14ac:dyDescent="0.3">
      <c r="A14" t="s">
        <v>30</v>
      </c>
    </row>
    <row r="16" spans="1:3" x14ac:dyDescent="0.3">
      <c r="A16" s="1" t="s">
        <v>0</v>
      </c>
      <c r="B16" s="2">
        <v>0.95</v>
      </c>
      <c r="C16" s="3" t="s">
        <v>1</v>
      </c>
    </row>
    <row r="17" spans="1:9" x14ac:dyDescent="0.3">
      <c r="A17" s="1" t="s">
        <v>2</v>
      </c>
      <c r="B17" s="4">
        <f>1-B16</f>
        <v>5.0000000000000044E-2</v>
      </c>
      <c r="C17" s="3" t="s">
        <v>3</v>
      </c>
    </row>
    <row r="19" spans="1:9" x14ac:dyDescent="0.3">
      <c r="A19" s="1" t="s">
        <v>4</v>
      </c>
      <c r="B19" s="5">
        <v>15000</v>
      </c>
      <c r="C19" s="6" t="s">
        <v>5</v>
      </c>
    </row>
    <row r="20" spans="1:9" x14ac:dyDescent="0.3">
      <c r="A20" s="1" t="s">
        <v>6</v>
      </c>
      <c r="B20" s="7">
        <f>_xlfn.NORM.S.INV(B16+B17/2)</f>
        <v>1.9599639845400536</v>
      </c>
    </row>
    <row r="21" spans="1:9" x14ac:dyDescent="0.3">
      <c r="A21" s="1" t="s">
        <v>9</v>
      </c>
      <c r="B21" s="2">
        <v>0.03</v>
      </c>
    </row>
    <row r="23" spans="1:9" x14ac:dyDescent="0.3">
      <c r="A23" s="8" t="s">
        <v>7</v>
      </c>
      <c r="B23" s="8" t="s">
        <v>8</v>
      </c>
      <c r="C23" s="10" t="s">
        <v>10</v>
      </c>
      <c r="E23" t="s">
        <v>36</v>
      </c>
    </row>
    <row r="24" spans="1:9" x14ac:dyDescent="0.3">
      <c r="A24" s="9">
        <v>0.1</v>
      </c>
      <c r="B24" s="9">
        <f>1-A24</f>
        <v>0.9</v>
      </c>
      <c r="C24" s="10">
        <f>ROUNDUP(($B$19*$B$20^2*A24*B24)/((($B$21^2)*($B$19-1))+($B$20^2)*A24*B24),0)</f>
        <v>375</v>
      </c>
      <c r="E24" t="s">
        <v>35</v>
      </c>
    </row>
    <row r="25" spans="1:9" x14ac:dyDescent="0.3">
      <c r="A25" s="9">
        <v>0.2</v>
      </c>
      <c r="B25" s="9">
        <f t="shared" ref="B25:B32" si="0">1-A25</f>
        <v>0.8</v>
      </c>
      <c r="C25" s="10">
        <f>ROUNDUP(($B$19*$B$20^2*A25*B25)/((($B$21^2)*($B$19-1))+($B$20^2)*A25*B25),0)</f>
        <v>654</v>
      </c>
    </row>
    <row r="26" spans="1:9" x14ac:dyDescent="0.3">
      <c r="A26" s="9">
        <v>0.3</v>
      </c>
      <c r="B26" s="9">
        <f t="shared" si="0"/>
        <v>0.7</v>
      </c>
      <c r="C26" s="10">
        <f t="shared" ref="C26:C30" si="1">ROUNDUP(($B$19*$B$20^2*A26*B26)/((($B$21^2)*($B$19-1))+($B$20^2)*A26*B26),0)</f>
        <v>846</v>
      </c>
      <c r="E26" s="1" t="s">
        <v>11</v>
      </c>
      <c r="F26" s="21" t="s">
        <v>21</v>
      </c>
      <c r="G26" s="21"/>
      <c r="H26" s="12" t="s">
        <v>16</v>
      </c>
      <c r="I26" s="3" t="s">
        <v>14</v>
      </c>
    </row>
    <row r="27" spans="1:9" x14ac:dyDescent="0.3">
      <c r="A27" s="9">
        <v>0.4</v>
      </c>
      <c r="B27" s="9">
        <f t="shared" si="0"/>
        <v>0.6</v>
      </c>
      <c r="C27" s="10">
        <f t="shared" si="1"/>
        <v>959</v>
      </c>
      <c r="E27" s="1" t="s">
        <v>12</v>
      </c>
      <c r="F27" s="21" t="s">
        <v>22</v>
      </c>
      <c r="G27" s="21"/>
      <c r="H27" s="12" t="s">
        <v>17</v>
      </c>
      <c r="I27" s="3" t="s">
        <v>15</v>
      </c>
    </row>
    <row r="28" spans="1:9" x14ac:dyDescent="0.3">
      <c r="A28" s="16">
        <v>0.5</v>
      </c>
      <c r="B28" s="16">
        <f t="shared" si="0"/>
        <v>0.5</v>
      </c>
      <c r="C28" s="11">
        <f t="shared" si="1"/>
        <v>997</v>
      </c>
    </row>
    <row r="29" spans="1:9" x14ac:dyDescent="0.3">
      <c r="A29" s="9">
        <v>0.6</v>
      </c>
      <c r="B29" s="9">
        <f t="shared" si="0"/>
        <v>0.4</v>
      </c>
      <c r="C29" s="10">
        <f t="shared" si="1"/>
        <v>959</v>
      </c>
      <c r="E29" s="21" t="s">
        <v>22</v>
      </c>
      <c r="F29" s="21"/>
      <c r="G29" s="17">
        <v>0.28000000000000003</v>
      </c>
      <c r="H29" s="3" t="s">
        <v>18</v>
      </c>
    </row>
    <row r="30" spans="1:9" x14ac:dyDescent="0.3">
      <c r="A30" s="9">
        <v>0.7</v>
      </c>
      <c r="B30" s="9">
        <f t="shared" si="0"/>
        <v>0.30000000000000004</v>
      </c>
      <c r="C30" s="10">
        <f t="shared" si="1"/>
        <v>846</v>
      </c>
    </row>
    <row r="31" spans="1:9" x14ac:dyDescent="0.3">
      <c r="A31" s="9">
        <v>0.8</v>
      </c>
      <c r="B31" s="9">
        <f t="shared" si="0"/>
        <v>0.19999999999999996</v>
      </c>
      <c r="C31" s="10">
        <f>ROUNDUP(($B$19*$B$20^2*A31*B31)/((($B$21^2)*($B$19-1))+($B$20^2)*A31*B31),0)</f>
        <v>654</v>
      </c>
      <c r="E31" s="8" t="s">
        <v>19</v>
      </c>
      <c r="F31" s="8" t="s">
        <v>20</v>
      </c>
    </row>
    <row r="32" spans="1:9" x14ac:dyDescent="0.3">
      <c r="A32" s="9">
        <v>0.9</v>
      </c>
      <c r="B32" s="9">
        <f t="shared" si="0"/>
        <v>9.9999999999999978E-2</v>
      </c>
      <c r="C32" s="10">
        <f>ROUNDUP(($B$19*$B$20^2*A32*B32)/((($B$21^2)*($B$19-1))+($B$20^2)*A32*B32),0)</f>
        <v>375</v>
      </c>
      <c r="E32" s="17">
        <f>G29*(1-B21)</f>
        <v>0.27160000000000001</v>
      </c>
      <c r="F32" s="17">
        <f>G29*(1+B21)</f>
        <v>0.28840000000000005</v>
      </c>
      <c r="G32" s="3"/>
    </row>
  </sheetData>
  <mergeCells count="3">
    <mergeCell ref="E29:F29"/>
    <mergeCell ref="F26:G26"/>
    <mergeCell ref="F27:G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542D-7E06-4CB4-A0B1-A8A0100D0ED1}">
  <dimension ref="A1:I32"/>
  <sheetViews>
    <sheetView tabSelected="1" zoomScale="81" zoomScaleNormal="100" workbookViewId="0">
      <selection activeCell="I17" sqref="I17"/>
    </sheetView>
  </sheetViews>
  <sheetFormatPr baseColWidth="10" defaultRowHeight="14.4" x14ac:dyDescent="0.3"/>
  <sheetData>
    <row r="1" spans="1:7" x14ac:dyDescent="0.3">
      <c r="A1" s="13" t="s">
        <v>34</v>
      </c>
    </row>
    <row r="2" spans="1:7" x14ac:dyDescent="0.3">
      <c r="A2" t="s">
        <v>24</v>
      </c>
    </row>
    <row r="9" spans="1:7" x14ac:dyDescent="0.3">
      <c r="A9" t="s">
        <v>25</v>
      </c>
    </row>
    <row r="10" spans="1:7" x14ac:dyDescent="0.3">
      <c r="A10" t="s">
        <v>26</v>
      </c>
    </row>
    <row r="11" spans="1:7" x14ac:dyDescent="0.3">
      <c r="A11" t="s">
        <v>27</v>
      </c>
    </row>
    <row r="12" spans="1:7" x14ac:dyDescent="0.3">
      <c r="A12" t="s">
        <v>31</v>
      </c>
    </row>
    <row r="13" spans="1:7" x14ac:dyDescent="0.3">
      <c r="A13" t="s">
        <v>30</v>
      </c>
      <c r="G13">
        <f>_xlfn.STDEV.S(B24:B32)</f>
        <v>336.51353778282248</v>
      </c>
    </row>
    <row r="15" spans="1:7" x14ac:dyDescent="0.3">
      <c r="A15" s="1" t="s">
        <v>0</v>
      </c>
      <c r="B15" s="2">
        <v>0.95</v>
      </c>
      <c r="C15" s="3" t="s">
        <v>1</v>
      </c>
    </row>
    <row r="16" spans="1:7" x14ac:dyDescent="0.3">
      <c r="A16" s="1" t="s">
        <v>2</v>
      </c>
      <c r="B16" s="4">
        <f>1-B15</f>
        <v>5.0000000000000044E-2</v>
      </c>
      <c r="C16" s="3" t="s">
        <v>3</v>
      </c>
    </row>
    <row r="18" spans="1:9" x14ac:dyDescent="0.3">
      <c r="A18" s="1" t="s">
        <v>4</v>
      </c>
      <c r="B18" s="5">
        <v>25000</v>
      </c>
      <c r="C18" s="6" t="s">
        <v>5</v>
      </c>
    </row>
    <row r="19" spans="1:9" x14ac:dyDescent="0.3">
      <c r="A19" s="1" t="s">
        <v>6</v>
      </c>
      <c r="B19" s="7">
        <f>_xlfn.NORM.S.INV(B15+B16/2)</f>
        <v>1.9599639845400536</v>
      </c>
    </row>
    <row r="20" spans="1:9" x14ac:dyDescent="0.3">
      <c r="A20" s="1" t="s">
        <v>9</v>
      </c>
      <c r="B20" s="19">
        <v>50</v>
      </c>
    </row>
    <row r="23" spans="1:9" x14ac:dyDescent="0.3">
      <c r="B23" s="8" t="s">
        <v>32</v>
      </c>
      <c r="C23" s="10" t="s">
        <v>10</v>
      </c>
      <c r="E23" t="s">
        <v>37</v>
      </c>
    </row>
    <row r="24" spans="1:9" x14ac:dyDescent="0.3">
      <c r="B24" s="14">
        <v>1</v>
      </c>
      <c r="C24" s="10">
        <f>ROUNDUP(($B$18*$B$19^2*B24^2)/((($B$20^2)*($B$18-1))+($B$19^2)*B24^2),0)</f>
        <v>1</v>
      </c>
      <c r="E24" t="s">
        <v>38</v>
      </c>
    </row>
    <row r="25" spans="1:9" x14ac:dyDescent="0.3">
      <c r="B25" s="14">
        <v>5</v>
      </c>
      <c r="C25" s="10">
        <f t="shared" ref="C25:C32" si="0">ROUNDUP(($B$18*$B$19^2*B25^2)/((($B$20^2)*($B$18-1))+($B$19^2)*B25^2),0)</f>
        <v>1</v>
      </c>
    </row>
    <row r="26" spans="1:9" x14ac:dyDescent="0.3">
      <c r="B26" s="14">
        <v>10</v>
      </c>
      <c r="C26" s="10">
        <f t="shared" si="0"/>
        <v>1</v>
      </c>
      <c r="E26" s="1" t="s">
        <v>11</v>
      </c>
      <c r="F26" s="21" t="s">
        <v>33</v>
      </c>
      <c r="G26" s="21"/>
      <c r="H26" s="12" t="s">
        <v>16</v>
      </c>
      <c r="I26" s="3" t="s">
        <v>14</v>
      </c>
    </row>
    <row r="27" spans="1:9" x14ac:dyDescent="0.3">
      <c r="B27" s="14">
        <v>25</v>
      </c>
      <c r="C27" s="10">
        <f t="shared" si="0"/>
        <v>1</v>
      </c>
      <c r="E27" s="1" t="s">
        <v>12</v>
      </c>
      <c r="F27" s="21" t="s">
        <v>13</v>
      </c>
      <c r="G27" s="21"/>
      <c r="H27" s="12" t="s">
        <v>17</v>
      </c>
      <c r="I27" s="3" t="s">
        <v>15</v>
      </c>
    </row>
    <row r="28" spans="1:9" x14ac:dyDescent="0.3">
      <c r="B28" s="14">
        <v>50</v>
      </c>
      <c r="C28" s="10">
        <f t="shared" si="0"/>
        <v>4</v>
      </c>
    </row>
    <row r="29" spans="1:9" x14ac:dyDescent="0.3">
      <c r="B29" s="18">
        <v>100</v>
      </c>
      <c r="C29" s="10">
        <f t="shared" si="0"/>
        <v>16</v>
      </c>
      <c r="E29" s="21" t="s">
        <v>13</v>
      </c>
      <c r="F29" s="21"/>
      <c r="G29" s="20">
        <v>3200</v>
      </c>
      <c r="H29" s="3" t="s">
        <v>18</v>
      </c>
    </row>
    <row r="30" spans="1:9" x14ac:dyDescent="0.3">
      <c r="B30" s="14">
        <v>200</v>
      </c>
      <c r="C30" s="10">
        <f t="shared" si="0"/>
        <v>62</v>
      </c>
    </row>
    <row r="31" spans="1:9" x14ac:dyDescent="0.3">
      <c r="B31" s="15">
        <v>500</v>
      </c>
      <c r="C31" s="11">
        <f t="shared" si="0"/>
        <v>379</v>
      </c>
      <c r="E31" s="8" t="s">
        <v>19</v>
      </c>
      <c r="F31" s="8" t="s">
        <v>20</v>
      </c>
    </row>
    <row r="32" spans="1:9" x14ac:dyDescent="0.3">
      <c r="B32" s="14">
        <v>1000</v>
      </c>
      <c r="C32" s="10">
        <f t="shared" si="0"/>
        <v>1448</v>
      </c>
      <c r="E32" s="20">
        <f>G29-B20</f>
        <v>3150</v>
      </c>
      <c r="F32" s="20">
        <f>G29+B20</f>
        <v>3250</v>
      </c>
      <c r="G32" s="3"/>
    </row>
  </sheetData>
  <mergeCells count="3">
    <mergeCell ref="F26:G26"/>
    <mergeCell ref="F27:G27"/>
    <mergeCell ref="E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Proporciones</vt:lpstr>
      <vt:lpstr>Promedios</vt:lpstr>
      <vt:lpstr>Promedios!d</vt:lpstr>
      <vt:lpstr>d</vt:lpstr>
      <vt:lpstr>Promedios!q</vt:lpstr>
      <vt:lpstr>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Amado</dc:creator>
  <cp:lastModifiedBy>247425 - ERICK WILLIAM TAMBITO MALDONADO</cp:lastModifiedBy>
  <dcterms:created xsi:type="dcterms:W3CDTF">2022-02-16T23:37:01Z</dcterms:created>
  <dcterms:modified xsi:type="dcterms:W3CDTF">2026-03-26T03:22:25Z</dcterms:modified>
</cp:coreProperties>
</file>
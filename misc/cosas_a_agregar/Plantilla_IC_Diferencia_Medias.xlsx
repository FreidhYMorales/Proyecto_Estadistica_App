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 - Detección de Caso" sheetId="1" state="visible" r:id="rId3"/>
    <sheet name="Caso 1 (Z, σ conocidas)" sheetId="2" state="visible" r:id="rId4"/>
    <sheet name="Caso 2 (t, σ² iguales)" sheetId="3" state="visible" r:id="rId5"/>
    <sheet name="Caso 3 (t Welch, σ² ≠)" sheetId="4" state="visible" r:id="rId6"/>
    <sheet name="Caso 4 (Z, n≥30)" sheetId="5" state="visible" r:id="rId7"/>
    <sheet name="Caso Paread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<sst xmlns="http://schemas.openxmlformats.org/spreadsheetml/2006/main" count="172" uniqueCount="89">
  <si>
    <t xml:space="preserve">★  RESOLVEDOR AUTOMÁTICO  —  Intervalos de Confianza para Diferencia de Medias  ★</t>
  </si>
  <si>
    <t xml:space="preserve">Ingresa los datos → el sistema detecta el caso y calcula el IC automáticamente</t>
  </si>
  <si>
    <t xml:space="preserve">▌ INGRESA LOS DATOS  (solo llena los que corresponden al problema)</t>
  </si>
  <si>
    <t xml:space="preserve">⚠  Si σ es CONOCIDA → ingresa σ en la columna correspondiente  |  Si σ es DESCONOCIDA → ingresa s (desv. muestral)  |  Muestras pareadas: usa la hoja 'Caso Pareadas' directamente</t>
  </si>
  <si>
    <t xml:space="preserve">▌ MUESTRA A</t>
  </si>
  <si>
    <t xml:space="preserve">n₁  (tamaño muestra A)</t>
  </si>
  <si>
    <t xml:space="preserve">Obligatorio</t>
  </si>
  <si>
    <t xml:space="preserve">x̄₁  (media muestral A)</t>
  </si>
  <si>
    <t xml:space="preserve">σ₁  (desv. POBLACIONAL A — si se conoce)</t>
  </si>
  <si>
    <t xml:space="preserve">Dejar en blanco si no se conoce</t>
  </si>
  <si>
    <t xml:space="preserve">s₁  (desv. MUESTRAL A — si σ es desconocida)</t>
  </si>
  <si>
    <t xml:space="preserve">Dejar en blanco si se conoce σ</t>
  </si>
  <si>
    <t xml:space="preserve">▌ MUESTRA B</t>
  </si>
  <si>
    <t xml:space="preserve">n₂  (tamaño muestra B)</t>
  </si>
  <si>
    <t xml:space="preserve">x̄₂  (media muestral B)</t>
  </si>
  <si>
    <t xml:space="preserve">σ₂  (desv. POBLACIONAL B — si se conoce)</t>
  </si>
  <si>
    <t xml:space="preserve">s₂  (desv. MUESTRAL B — si σ es desconocida)</t>
  </si>
  <si>
    <t xml:space="preserve">▌ PARÁMETROS</t>
  </si>
  <si>
    <t xml:space="preserve">Nivel de Confianza  (NC)</t>
  </si>
  <si>
    <t xml:space="preserve">Ej: 0.95 → 95%</t>
  </si>
  <si>
    <t xml:space="preserve">¿Varianzas iguales? (1=Sí, 0=No)</t>
  </si>
  <si>
    <t xml:space="preserve">Solo aplica si n&lt;30 y σ desconocida</t>
  </si>
  <si>
    <t xml:space="preserve">▌ CÁLCULOS AUTOMÁTICOS  (según caso detectado)</t>
  </si>
  <si>
    <t xml:space="preserve">α  (nivel de significancia)</t>
  </si>
  <si>
    <t xml:space="preserve">Dispersión efectiva A  (σ o s según caso)</t>
  </si>
  <si>
    <t xml:space="preserve">Dispersión efectiva B  (σ o s según caso)</t>
  </si>
  <si>
    <t xml:space="preserve">Error estándar  SE</t>
  </si>
  <si>
    <t xml:space="preserve">Grados de libertad Welch  ν  (Caso 3)</t>
  </si>
  <si>
    <t xml:space="preserve">Grados de libertad ponderados  gl  (Caso 2)</t>
  </si>
  <si>
    <t xml:space="preserve">Varianza ponderada  sp²  (Caso 2)</t>
  </si>
  <si>
    <t xml:space="preserve">Error estándar ponderado  SE  (Caso 2)</t>
  </si>
  <si>
    <t xml:space="preserve">Valor crítico  (Z o t según caso)</t>
  </si>
  <si>
    <t xml:space="preserve">SE utilizado en el cálculo final</t>
  </si>
  <si>
    <t xml:space="preserve">Diferencia de medias  (x̄₁ − x̄₂)</t>
  </si>
  <si>
    <t xml:space="preserve">Margen de error  E = valor crítico · SE</t>
  </si>
  <si>
    <t xml:space="preserve">▌ RESULTADO FINAL</t>
  </si>
  <si>
    <t xml:space="preserve">▶  Intervalo de Confianza  [ LI , LS ]</t>
  </si>
  <si>
    <t xml:space="preserve">LI              LS</t>
  </si>
  <si>
    <t xml:space="preserve">Caso detectado y distribución usada</t>
  </si>
  <si>
    <t xml:space="preserve">CASO 1 — Varianzas Poblacionales CONOCIDAS  (Distribución Z)</t>
  </si>
  <si>
    <t xml:space="preserve">Usar cuando σ₁ y σ₂ son conocidas (datos históricos / especificaciones del fabricante)</t>
  </si>
  <si>
    <t xml:space="preserve">▌ MUESTRA A  —  σ poblacional conocida</t>
  </si>
  <si>
    <t xml:space="preserve">Entero ≥ 1</t>
  </si>
  <si>
    <t xml:space="preserve">σ₁  (desv. estándar POBLACIONAL A)</t>
  </si>
  <si>
    <t xml:space="preserve">σ conocida</t>
  </si>
  <si>
    <t xml:space="preserve">▌ MUESTRA B  —  σ poblacional conocida</t>
  </si>
  <si>
    <t xml:space="preserve">σ₂  (desv. estándar POBLACIONAL B)</t>
  </si>
  <si>
    <t xml:space="preserve">▌ CÁLCULOS AUTOMÁTICOS</t>
  </si>
  <si>
    <t xml:space="preserve">Z crítico  (Z α/2)</t>
  </si>
  <si>
    <t xml:space="preserve">Error estándar  SE = √(σ₁²/n₁ + σ₂²/n₂)</t>
  </si>
  <si>
    <t xml:space="preserve">Margen de error  E = Z · SE</t>
  </si>
  <si>
    <t xml:space="preserve">LI                    LS</t>
  </si>
  <si>
    <t xml:space="preserve">CASO 2 — σ desconocidas, Varianzas IGUALES, n pequeña  (t de Student · Varianza Ponderada)</t>
  </si>
  <si>
    <t xml:space="preserve">Homocedasticidad asumida: se calcula sp² ponderada  |  gl = n₁+n₂−2</t>
  </si>
  <si>
    <t xml:space="preserve">▌ MUESTRA A  —  desv. estándar MUESTRAL (s₁)</t>
  </si>
  <si>
    <t xml:space="preserve">n &lt; 30</t>
  </si>
  <si>
    <t xml:space="preserve">s₁  (desv. estándar MUESTRAL A)</t>
  </si>
  <si>
    <t xml:space="preserve">s muestral</t>
  </si>
  <si>
    <t xml:space="preserve">▌ MUESTRA B  —  desv. estándar MUESTRAL (s₂)</t>
  </si>
  <si>
    <t xml:space="preserve">s₂  (desv. estándar MUESTRAL B)</t>
  </si>
  <si>
    <t xml:space="preserve">Ej: 0.99 → 99%</t>
  </si>
  <si>
    <t xml:space="preserve">Grados de libertad  gl = n₁+n₂−2</t>
  </si>
  <si>
    <t xml:space="preserve">Varianza ponderada  sp² = [(n₁-1)s₁²+(n₂-1)s₂²]/gl</t>
  </si>
  <si>
    <t xml:space="preserve">t crítico  (t α/2, gl)</t>
  </si>
  <si>
    <t xml:space="preserve">Error estándar  SE = √(sp²·(1/n₁+1/n₂))</t>
  </si>
  <si>
    <t xml:space="preserve">Margen de error  E = t · SE</t>
  </si>
  <si>
    <t xml:space="preserve">CASO 3 — σ desconocidas, Varianzas DIFERENTES, n pequeña  (t de Student · Aproximación de Welch)</t>
  </si>
  <si>
    <t xml:space="preserve">Heterocedasticidad: se usan s₁ y s₂ independientes  |  gl calculados con fórmula de Welch</t>
  </si>
  <si>
    <t xml:space="preserve">▌ CÁLCULOS AUTOMÁTICOS (Welch)</t>
  </si>
  <si>
    <t xml:space="preserve">s₁²/n₁</t>
  </si>
  <si>
    <t xml:space="preserve">s₂²/n₂</t>
  </si>
  <si>
    <t xml:space="preserve">Grados de libertad Welch  ν</t>
  </si>
  <si>
    <t xml:space="preserve">t crítico  (t α/2, ν)</t>
  </si>
  <si>
    <t xml:space="preserve">Error estándar  SE = √(s₁²/n₁ + s₂²/n₂)</t>
  </si>
  <si>
    <t xml:space="preserve">CASO 4 — Muestras Grandes (n₁,n₂ ≥ 30)  →  Distribución Z  (Teorema del Límite Central)</t>
  </si>
  <si>
    <t xml:space="preserve">σ desconocidas pero n grande: s muestral ≈ σ poblacional  |  Se usa Z aunque σ sea desconocida</t>
  </si>
  <si>
    <t xml:space="preserve">n ≥ 30</t>
  </si>
  <si>
    <t xml:space="preserve">s muestral (≈ σ)</t>
  </si>
  <si>
    <t xml:space="preserve">CASO PAREADAS — Muestras Dependientes  (Antes / Después o Mismo Sujeto)</t>
  </si>
  <si>
    <t xml:space="preserve">Se analiza la media de las diferencias d̄  |  Distribución t con gl = n−1</t>
  </si>
  <si>
    <t xml:space="preserve">▌ DATOS DE LAS DIFERENCIAS  dᵢ = x₁ᵢ − x₂ᵢ</t>
  </si>
  <si>
    <t xml:space="preserve">n  (número de pares)  </t>
  </si>
  <si>
    <t xml:space="preserve">Mismo n para ambas muestras</t>
  </si>
  <si>
    <t xml:space="preserve">d̄  (media de las diferencias)  </t>
  </si>
  <si>
    <t xml:space="preserve">Calcular: =PROMEDIO(dᵢ)</t>
  </si>
  <si>
    <t xml:space="preserve">Sd  (desv. estándar de las diferencias)  </t>
  </si>
  <si>
    <t xml:space="preserve">Calcular: =DESVEST(dᵢ)</t>
  </si>
  <si>
    <t xml:space="preserve">Grados de libertad  gl = n−1</t>
  </si>
  <si>
    <t xml:space="preserve">Error estándar  SE = Sd/√n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</si>
</sst>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%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F3F00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D6A27"/>
      <name val="Arial"/>
      <family val="0"/>
      <charset val="1"/>
    </font>
    <font>
      <sz val="10"/>
      <color rgb="FF1D6A27"/>
      <name val="Arial"/>
      <family val="0"/>
      <charset val="1"/>
    </font>
    <font>
      <b val="true"/>
      <sz val="9"/>
      <color rgb="FF1A5276"/>
      <name val="Arial"/>
      <family val="0"/>
      <charset val="1"/>
    </font>
    <font>
      <sz val="10"/>
      <color rgb="FF2C3E5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2471A3"/>
        <bgColor rgb="FF2980B9"/>
      </patternFill>
    </fill>
    <fill>
      <patternFill patternType="solid">
        <fgColor rgb="FF1A5276"/>
        <bgColor rgb="FF154360"/>
      </patternFill>
    </fill>
    <fill>
      <patternFill patternType="solid">
        <fgColor rgb="FFFEF9E7"/>
        <bgColor rgb="FFFDFEFE"/>
      </patternFill>
    </fill>
    <fill>
      <patternFill patternType="solid">
        <fgColor rgb="FF154360"/>
        <bgColor rgb="FF1F3864"/>
      </patternFill>
    </fill>
    <fill>
      <patternFill patternType="solid">
        <fgColor rgb="FFD6E4F0"/>
        <bgColor rgb="FFD5F5E3"/>
      </patternFill>
    </fill>
    <fill>
      <patternFill patternType="solid">
        <fgColor rgb="FFEBF5FB"/>
        <bgColor rgb="FFFDFEFE"/>
      </patternFill>
    </fill>
    <fill>
      <patternFill patternType="solid">
        <fgColor rgb="FF117A65"/>
        <bgColor rgb="FF2471A3"/>
      </patternFill>
    </fill>
    <fill>
      <patternFill patternType="solid">
        <fgColor rgb="FFFDFEFE"/>
        <bgColor rgb="FFFFFFFF"/>
      </patternFill>
    </fill>
    <fill>
      <patternFill patternType="solid">
        <fgColor rgb="FFD5F5E3"/>
        <bgColor rgb="FFD6E4F0"/>
      </patternFill>
    </fill>
    <fill>
      <patternFill patternType="solid">
        <fgColor rgb="FFFFF3CD"/>
        <bgColor rgb="FFFEF9E7"/>
      </patternFill>
    </fill>
    <fill>
      <patternFill patternType="solid">
        <fgColor rgb="FF2980B9"/>
        <bgColor rgb="FF2471A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EB6BF"/>
      </left>
      <right/>
      <top style="thin">
        <color rgb="FFAEB6BF"/>
      </top>
      <bottom style="thin">
        <color rgb="FFAEB6BF"/>
      </bottom>
      <diagonal/>
    </border>
    <border diagonalUp="false" diagonalDown="false"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27"/>
      <rgbColor rgb="FF000080"/>
      <rgbColor rgb="FF808000"/>
      <rgbColor rgb="FF800080"/>
      <rgbColor rgb="FF117A65"/>
      <rgbColor rgb="FFAEB6BF"/>
      <rgbColor rgb="FF7F8C8D"/>
      <rgbColor rgb="FF9999FF"/>
      <rgbColor rgb="FF993366"/>
      <rgbColor rgb="FFFFF3CD"/>
      <rgbColor rgb="FFEBF5FB"/>
      <rgbColor rgb="FF660066"/>
      <rgbColor rgb="FFFF8080"/>
      <rgbColor rgb="FF2471A3"/>
      <rgbColor rgb="FFD6E4F0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DFEFE"/>
      <rgbColor rgb="FFD5F5E3"/>
      <rgbColor rgb="FFFEF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1A5276"/>
      <rgbColor rgb="FF969696"/>
      <rgbColor rgb="FF154360"/>
      <rgbColor rgb="FF339966"/>
      <rgbColor rgb="FF003300"/>
      <rgbColor rgb="FF333300"/>
      <rgbColor rgb="FF7F3F00"/>
      <rgbColor rgb="FF993366"/>
      <rgbColor rgb="FF1F3864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32"/>
  </cols>
  <sheetData>
    <row r="1" customFormat="false" ht="30" hidden="false" customHeight="true" outlineLevel="0" collapsed="false">
      <c r="B1" s="2" t="s">
        <v>0</v>
      </c>
      <c r="C1" s="2"/>
      <c r="D1" s="2"/>
      <c r="E1" s="2"/>
      <c r="F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</row>
    <row r="3" customFormat="false" ht="19.5" hidden="false" customHeight="true" outlineLevel="0" collapsed="false">
      <c r="B3" s="4" t="s">
        <v>2</v>
      </c>
      <c r="C3" s="4"/>
      <c r="D3" s="4"/>
      <c r="E3" s="4"/>
      <c r="F3" s="4"/>
    </row>
    <row r="4" customFormat="false" ht="30" hidden="false" customHeight="true" outlineLevel="0" collapsed="false">
      <c r="B4" s="5" t="s">
        <v>3</v>
      </c>
      <c r="C4" s="5"/>
      <c r="D4" s="5"/>
      <c r="E4" s="5"/>
      <c r="F4" s="5"/>
    </row>
    <row r="5" customFormat="false" ht="19.5" hidden="false" customHeight="true" outlineLevel="0" collapsed="false">
      <c r="B5" s="6" t="s">
        <v>4</v>
      </c>
      <c r="C5" s="6"/>
      <c r="D5" s="6"/>
      <c r="E5" s="6"/>
      <c r="F5" s="6"/>
    </row>
    <row r="6" customFormat="false" ht="18" hidden="false" customHeight="true" outlineLevel="0" collapsed="false">
      <c r="B6" s="7" t="s">
        <v>5</v>
      </c>
      <c r="C6" s="8"/>
      <c r="D6" s="9"/>
      <c r="E6" s="9"/>
      <c r="F6" s="10" t="s">
        <v>6</v>
      </c>
    </row>
    <row r="7" customFormat="false" ht="18" hidden="false" customHeight="true" outlineLevel="0" collapsed="false">
      <c r="B7" s="7" t="s">
        <v>7</v>
      </c>
      <c r="C7" s="11"/>
      <c r="D7" s="9"/>
      <c r="E7" s="9"/>
      <c r="F7" s="10" t="s">
        <v>6</v>
      </c>
    </row>
    <row r="8" customFormat="false" ht="18" hidden="false" customHeight="true" outlineLevel="0" collapsed="false">
      <c r="B8" s="7" t="s">
        <v>8</v>
      </c>
      <c r="C8" s="11"/>
      <c r="D8" s="9"/>
      <c r="E8" s="9"/>
      <c r="F8" s="10" t="s">
        <v>9</v>
      </c>
    </row>
    <row r="9" customFormat="false" ht="18" hidden="false" customHeight="true" outlineLevel="0" collapsed="false">
      <c r="B9" s="7" t="s">
        <v>10</v>
      </c>
      <c r="C9" s="11"/>
      <c r="D9" s="9"/>
      <c r="E9" s="9"/>
      <c r="F9" s="10" t="s">
        <v>11</v>
      </c>
    </row>
    <row r="10" customFormat="false" ht="19.5" hidden="false" customHeight="true" outlineLevel="0" collapsed="false">
      <c r="B10" s="6" t="s">
        <v>12</v>
      </c>
      <c r="C10" s="6"/>
      <c r="D10" s="6"/>
      <c r="E10" s="6"/>
      <c r="F10" s="6"/>
    </row>
    <row r="11" customFormat="false" ht="18" hidden="false" customHeight="true" outlineLevel="0" collapsed="false">
      <c r="B11" s="7" t="s">
        <v>13</v>
      </c>
      <c r="C11" s="8"/>
      <c r="D11" s="9"/>
      <c r="E11" s="9"/>
      <c r="F11" s="10" t="s">
        <v>6</v>
      </c>
    </row>
    <row r="12" customFormat="false" ht="18" hidden="false" customHeight="true" outlineLevel="0" collapsed="false">
      <c r="B12" s="7" t="s">
        <v>14</v>
      </c>
      <c r="C12" s="11"/>
      <c r="D12" s="9"/>
      <c r="E12" s="9"/>
      <c r="F12" s="10" t="s">
        <v>6</v>
      </c>
    </row>
    <row r="13" customFormat="false" ht="18" hidden="false" customHeight="true" outlineLevel="0" collapsed="false">
      <c r="B13" s="7" t="s">
        <v>15</v>
      </c>
      <c r="C13" s="11"/>
      <c r="D13" s="9"/>
      <c r="E13" s="9"/>
      <c r="F13" s="10" t="s">
        <v>9</v>
      </c>
    </row>
    <row r="14" customFormat="false" ht="18" hidden="false" customHeight="true" outlineLevel="0" collapsed="false">
      <c r="B14" s="7" t="s">
        <v>16</v>
      </c>
      <c r="C14" s="11"/>
      <c r="D14" s="9"/>
      <c r="E14" s="9"/>
      <c r="F14" s="10" t="s">
        <v>11</v>
      </c>
    </row>
    <row r="15" customFormat="false" ht="19.5" hidden="false" customHeight="true" outlineLevel="0" collapsed="false">
      <c r="B15" s="6" t="s">
        <v>17</v>
      </c>
      <c r="C15" s="6"/>
      <c r="D15" s="6"/>
      <c r="E15" s="6"/>
      <c r="F15" s="6"/>
    </row>
    <row r="16" customFormat="false" ht="18" hidden="false" customHeight="true" outlineLevel="0" collapsed="false">
      <c r="B16" s="7" t="s">
        <v>18</v>
      </c>
      <c r="C16" s="12" t="n">
        <v>0.95</v>
      </c>
      <c r="D16" s="9"/>
      <c r="E16" s="9"/>
      <c r="F16" s="10" t="s">
        <v>19</v>
      </c>
    </row>
    <row r="17" customFormat="false" ht="18" hidden="false" customHeight="true" outlineLevel="0" collapsed="false">
      <c r="B17" s="7" t="s">
        <v>20</v>
      </c>
      <c r="C17" s="8" t="n">
        <v>0</v>
      </c>
      <c r="D17" s="9"/>
      <c r="E17" s="9"/>
      <c r="F17" s="10" t="s">
        <v>21</v>
      </c>
    </row>
    <row r="18" customFormat="false" ht="21.75" hidden="false" customHeight="true" outlineLevel="0" collapsed="false">
      <c r="B18" s="13" t="str">
        <f aca="false">IF(OR(ISBLANK(C6),ISBLANK(C11),ISBLANK(C7),ISBLANK(C12)),"⚠ Faltan datos obligatorios",IF(AND(NOT(ISBLANK(C8)),NOT(ISBLANK(C13)),C8&gt;0,C13&gt;0),"CASO 1: σ conocidas → Z",IF(AND(C6&gt;=30,C11&gt;=30),"CASO 4: n grande → Z (TLC)",IF(C17=1,"CASO 2: σ desconocidas, varianzas iguales → t (sp²)","CASO 3: σ desconocidas, varianzas distintas → t (Welch)"))))</f>
        <v>⚠ Faltan datos obligatorios</v>
      </c>
      <c r="C18" s="13"/>
      <c r="D18" s="13"/>
      <c r="E18" s="13"/>
      <c r="F18" s="13"/>
    </row>
    <row r="19" customFormat="false" ht="19.5" hidden="false" customHeight="true" outlineLevel="0" collapsed="false">
      <c r="B19" s="14" t="s">
        <v>22</v>
      </c>
      <c r="C19" s="14"/>
      <c r="D19" s="14"/>
      <c r="E19" s="14"/>
      <c r="F19" s="14"/>
    </row>
    <row r="20" customFormat="false" ht="18" hidden="false" customHeight="true" outlineLevel="0" collapsed="false">
      <c r="B20" s="7" t="s">
        <v>23</v>
      </c>
      <c r="C20" s="15" t="n">
        <f aca="false">1-C16</f>
        <v>0.05</v>
      </c>
      <c r="D20" s="16"/>
      <c r="E20" s="16"/>
      <c r="F20" s="16"/>
    </row>
    <row r="21" customFormat="false" ht="18" hidden="false" customHeight="true" outlineLevel="0" collapsed="false">
      <c r="B21" s="7" t="s">
        <v>24</v>
      </c>
      <c r="C21" s="15" t="n">
        <f aca="false">IF(AND(NOT(ISBLANK(C8)),C8&gt;0),C8,C9)</f>
        <v>0</v>
      </c>
      <c r="D21" s="16"/>
      <c r="E21" s="16"/>
      <c r="F21" s="16"/>
    </row>
    <row r="22" customFormat="false" ht="18" hidden="false" customHeight="true" outlineLevel="0" collapsed="false">
      <c r="B22" s="7" t="s">
        <v>25</v>
      </c>
      <c r="C22" s="15" t="n">
        <f aca="false">IF(AND(NOT(ISBLANK(C13)),C13&gt;0),C13,C14)</f>
        <v>0</v>
      </c>
      <c r="D22" s="16"/>
      <c r="E22" s="16"/>
      <c r="F22" s="16"/>
    </row>
    <row r="23" customFormat="false" ht="18" hidden="false" customHeight="true" outlineLevel="0" collapsed="false">
      <c r="B23" s="7" t="s">
        <v>26</v>
      </c>
      <c r="C23" s="15" t="str">
        <f aca="false">IFERROR(SQRT(C21^2/C6+C22^2/C11),"—")</f>
        <v>—</v>
      </c>
      <c r="D23" s="16"/>
      <c r="E23" s="16"/>
      <c r="F23" s="16"/>
    </row>
    <row r="24" customFormat="false" ht="18" hidden="false" customHeight="true" outlineLevel="0" collapsed="false">
      <c r="B24" s="7" t="s">
        <v>27</v>
      </c>
      <c r="C24" s="17" t="str">
        <f aca="false">IFERROR(INT((C9^2/C6+C14^2/C11)^2/((C9^2/C6)^2/(C6-1)+(C14^2/C11)^2/(C11-1))),"—")</f>
        <v>—</v>
      </c>
      <c r="D24" s="16"/>
      <c r="E24" s="16"/>
      <c r="F24" s="16"/>
    </row>
    <row r="25" customFormat="false" ht="18" hidden="false" customHeight="true" outlineLevel="0" collapsed="false">
      <c r="B25" s="7" t="s">
        <v>28</v>
      </c>
      <c r="C25" s="17" t="n">
        <f aca="false">C6+C11-2</f>
        <v>-2</v>
      </c>
      <c r="D25" s="16"/>
      <c r="E25" s="16"/>
      <c r="F25" s="16"/>
    </row>
    <row r="26" customFormat="false" ht="18" hidden="false" customHeight="true" outlineLevel="0" collapsed="false">
      <c r="B26" s="7" t="s">
        <v>29</v>
      </c>
      <c r="C26" s="15" t="n">
        <f aca="false">((C6-1)*C9^2+(C11-1)*C14^2)/(C6+C11-2)</f>
        <v>0</v>
      </c>
      <c r="D26" s="16"/>
      <c r="E26" s="16"/>
      <c r="F26" s="16"/>
    </row>
    <row r="27" customFormat="false" ht="18" hidden="false" customHeight="true" outlineLevel="0" collapsed="false">
      <c r="B27" s="7" t="s">
        <v>30</v>
      </c>
      <c r="C27" s="15" t="str">
        <f aca="false">IFERROR(SQRT(C26*(1/C6+1/C11)),"—")</f>
        <v>—</v>
      </c>
      <c r="D27" s="16"/>
      <c r="E27" s="16"/>
      <c r="F27" s="16"/>
    </row>
    <row r="28" customFormat="false" ht="18" hidden="false" customHeight="true" outlineLevel="0" collapsed="false">
      <c r="B28" s="7" t="s">
        <v>31</v>
      </c>
      <c r="C28" s="15" t="str">
        <f aca="false">IFERROR(IF(AND(NOT(ISBLANK(C8)),NOT(ISBLANK(C13)),C8&gt;0,C13&gt;0),NORMSINV(1-C20/2),IF(AND(C6&gt;=30,C11&gt;=30),NORMSINV(1-C20/2),IF(C17=1,TINV(C20,C25),TINV(C20,C24)))),"—")</f>
        <v>—</v>
      </c>
      <c r="D28" s="16"/>
      <c r="E28" s="16"/>
      <c r="F28" s="16"/>
    </row>
    <row r="29" customFormat="false" ht="18" hidden="false" customHeight="true" outlineLevel="0" collapsed="false">
      <c r="B29" s="7" t="s">
        <v>32</v>
      </c>
      <c r="C29" s="15" t="str">
        <f aca="false">IFERROR(IF(C17=1,IF(AND(C6&gt;=30,C11&gt;=30),C23,C27),C23),"—")</f>
        <v>—</v>
      </c>
      <c r="D29" s="16"/>
      <c r="E29" s="16"/>
      <c r="F29" s="16"/>
    </row>
    <row r="30" customFormat="false" ht="18" hidden="false" customHeight="true" outlineLevel="0" collapsed="false">
      <c r="B30" s="7" t="s">
        <v>33</v>
      </c>
      <c r="C30" s="15" t="n">
        <f aca="false">C7-C12</f>
        <v>0</v>
      </c>
      <c r="D30" s="16"/>
      <c r="E30" s="16"/>
      <c r="F30" s="16"/>
    </row>
    <row r="31" customFormat="false" ht="18" hidden="false" customHeight="true" outlineLevel="0" collapsed="false">
      <c r="B31" s="7" t="s">
        <v>34</v>
      </c>
      <c r="C31" s="15" t="str">
        <f aca="false">IFERROR(C28*C29,"—")</f>
        <v>—</v>
      </c>
      <c r="D31" s="16"/>
      <c r="E31" s="16"/>
      <c r="F31" s="16"/>
    </row>
    <row r="32" customFormat="false" ht="19.5" hidden="false" customHeight="true" outlineLevel="0" collapsed="false">
      <c r="B32" s="14" t="s">
        <v>35</v>
      </c>
      <c r="C32" s="14"/>
      <c r="D32" s="14"/>
      <c r="E32" s="14"/>
      <c r="F32" s="14"/>
    </row>
    <row r="33" customFormat="false" ht="21.75" hidden="false" customHeight="true" outlineLevel="0" collapsed="false">
      <c r="B33" s="18" t="s">
        <v>36</v>
      </c>
      <c r="C33" s="19" t="str">
        <f aca="false">IFERROR(C30-C31,"—")</f>
        <v>—</v>
      </c>
      <c r="D33" s="19" t="str">
        <f aca="false">IFERROR(C30+C31,"—")</f>
        <v>—</v>
      </c>
      <c r="E33" s="20" t="s">
        <v>37</v>
      </c>
      <c r="F33" s="21"/>
    </row>
    <row r="34" customFormat="false" ht="18" hidden="false" customHeight="true" outlineLevel="0" collapsed="false">
      <c r="B34" s="18" t="s">
        <v>38</v>
      </c>
      <c r="C34" s="22" t="str">
        <f aca="false">IF(OR(ISBLANK(C6),ISBLANK(C11),ISBLANK(C7),ISBLANK(C12)),"⚠ Faltan datos obligatorios",IF(AND(NOT(ISBLANK(C8)),NOT(ISBLANK(C13)),C8&gt;0,C13&gt;0),"CASO 1: σ conocidas → Z",IF(AND(C6&gt;=30,C11&gt;=30),"CASO 4: n grande → Z (TLC)",IF(C17=1,"CASO 2: σ desconocidas, varianzas iguales → t (sp²)","CASO 3: σ desconocidas, varianzas distintas → t (Welch)"))))</f>
        <v>⚠ Faltan datos obligatorios</v>
      </c>
      <c r="D34" s="22"/>
      <c r="E34" s="22"/>
      <c r="F34" s="22"/>
    </row>
    <row r="35" customFormat="false" ht="30" hidden="false" customHeight="true" outlineLevel="0" collapsed="false">
      <c r="B35" s="23" t="str">
        <f aca="false">IF(OR(ISBLANK(C6),ISBLANK(C7)),"Ingresa los datos para ver la conclusión",IF(AND(C30-C31&lt;0,C30+C31&lt;0),"Con "&amp;TEXT(C16,"0%")&amp;" de confianza: μ₁ &lt; μ₂  →  la Muestra A es significativamente MENOR que B",IF(AND(C30-C31&gt;0,C30+C31&gt;0),"Con "&amp;TEXT(C16,"0%")&amp;" de confianza: μ₁ &gt; μ₂  →  la Muestra A es significativamente MAYOR que B","Con "&amp;TEXT(C16,"0%")&amp;" de confianza: NO hay diferencia significativa  (el IC contiene el 0)")))</f>
        <v>Ingresa los datos para ver la conclusión</v>
      </c>
      <c r="C35" s="23"/>
      <c r="D35" s="23"/>
      <c r="E35" s="23"/>
      <c r="F35" s="23"/>
    </row>
  </sheetData>
  <mergeCells count="12">
    <mergeCell ref="B1:F1"/>
    <mergeCell ref="B2:F2"/>
    <mergeCell ref="B3:F3"/>
    <mergeCell ref="B4:F4"/>
    <mergeCell ref="B5:F5"/>
    <mergeCell ref="B10:F10"/>
    <mergeCell ref="B15:F15"/>
    <mergeCell ref="B18:F18"/>
    <mergeCell ref="B19:F19"/>
    <mergeCell ref="B32:F32"/>
    <mergeCell ref="C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38"/>
  </cols>
  <sheetData>
    <row r="1" customFormat="false" ht="27.75" hidden="false" customHeight="true" outlineLevel="0" collapsed="false">
      <c r="B1" s="2" t="s">
        <v>39</v>
      </c>
      <c r="C1" s="2"/>
      <c r="D1" s="2"/>
      <c r="E1" s="2"/>
    </row>
    <row r="2" customFormat="false" ht="18" hidden="false" customHeight="true" outlineLevel="0" collapsed="false">
      <c r="B2" s="24" t="s">
        <v>40</v>
      </c>
      <c r="C2" s="24"/>
      <c r="D2" s="24"/>
      <c r="E2" s="24"/>
    </row>
    <row r="3" customFormat="false" ht="19.5" hidden="false" customHeight="true" outlineLevel="0" collapsed="false">
      <c r="B3" s="4" t="s">
        <v>41</v>
      </c>
      <c r="C3" s="4"/>
      <c r="D3" s="4"/>
      <c r="E3" s="4"/>
      <c r="F3" s="4"/>
    </row>
    <row r="4" customFormat="false" ht="18" hidden="false" customHeight="true" outlineLevel="0" collapsed="false">
      <c r="B4" s="7" t="s">
        <v>5</v>
      </c>
      <c r="C4" s="8" t="n">
        <v>50</v>
      </c>
      <c r="D4" s="25"/>
      <c r="E4" s="10" t="s">
        <v>42</v>
      </c>
      <c r="F4" s="9"/>
    </row>
    <row r="5" customFormat="false" ht="18" hidden="false" customHeight="true" outlineLevel="0" collapsed="false">
      <c r="B5" s="7" t="s">
        <v>7</v>
      </c>
      <c r="C5" s="11" t="n">
        <v>985</v>
      </c>
      <c r="D5" s="25"/>
      <c r="E5" s="10"/>
      <c r="F5" s="9"/>
    </row>
    <row r="6" customFormat="false" ht="18" hidden="false" customHeight="true" outlineLevel="0" collapsed="false">
      <c r="B6" s="7" t="s">
        <v>43</v>
      </c>
      <c r="C6" s="11" t="n">
        <v>12</v>
      </c>
      <c r="D6" s="25"/>
      <c r="E6" s="10" t="s">
        <v>44</v>
      </c>
      <c r="F6" s="9"/>
    </row>
    <row r="7" customFormat="false" ht="19.5" hidden="false" customHeight="true" outlineLevel="0" collapsed="false">
      <c r="B7" s="4" t="s">
        <v>45</v>
      </c>
      <c r="C7" s="4"/>
      <c r="D7" s="4"/>
      <c r="E7" s="4"/>
      <c r="F7" s="4"/>
    </row>
    <row r="8" customFormat="false" ht="18" hidden="false" customHeight="true" outlineLevel="0" collapsed="false">
      <c r="B8" s="7" t="s">
        <v>13</v>
      </c>
      <c r="C8" s="8" t="n">
        <v>60</v>
      </c>
      <c r="D8" s="25"/>
      <c r="E8" s="10" t="s">
        <v>42</v>
      </c>
      <c r="F8" s="9"/>
    </row>
    <row r="9" customFormat="false" ht="18" hidden="false" customHeight="true" outlineLevel="0" collapsed="false">
      <c r="B9" s="7" t="s">
        <v>14</v>
      </c>
      <c r="C9" s="11" t="n">
        <v>960</v>
      </c>
      <c r="D9" s="25"/>
      <c r="E9" s="10"/>
      <c r="F9" s="9"/>
    </row>
    <row r="10" customFormat="false" ht="18" hidden="false" customHeight="true" outlineLevel="0" collapsed="false">
      <c r="B10" s="7" t="s">
        <v>46</v>
      </c>
      <c r="C10" s="11" t="n">
        <v>18</v>
      </c>
      <c r="D10" s="25"/>
      <c r="E10" s="10" t="s">
        <v>44</v>
      </c>
      <c r="F10" s="9"/>
    </row>
    <row r="11" customFormat="false" ht="19.5" hidden="false" customHeight="true" outlineLevel="0" collapsed="false">
      <c r="B11" s="4" t="s">
        <v>17</v>
      </c>
      <c r="C11" s="4"/>
      <c r="D11" s="4"/>
      <c r="E11" s="4"/>
      <c r="F11" s="4"/>
    </row>
    <row r="12" customFormat="false" ht="18" hidden="false" customHeight="true" outlineLevel="0" collapsed="false">
      <c r="B12" s="7" t="s">
        <v>18</v>
      </c>
      <c r="C12" s="12" t="n">
        <v>0.98</v>
      </c>
      <c r="D12" s="25"/>
      <c r="E12" s="10" t="s">
        <v>19</v>
      </c>
      <c r="F12" s="9"/>
    </row>
    <row r="13" customFormat="false" ht="19.5" hidden="false" customHeight="true" outlineLevel="0" collapsed="false">
      <c r="B13" s="14" t="s">
        <v>47</v>
      </c>
      <c r="C13" s="14"/>
      <c r="D13" s="14"/>
      <c r="E13" s="14"/>
      <c r="F13" s="14"/>
    </row>
    <row r="14" customFormat="false" ht="18" hidden="false" customHeight="true" outlineLevel="0" collapsed="false">
      <c r="B14" s="7" t="s">
        <v>23</v>
      </c>
      <c r="C14" s="15" t="n">
        <f aca="false">1-C12</f>
        <v>0.02</v>
      </c>
      <c r="D14" s="16"/>
      <c r="E14" s="16"/>
      <c r="F14" s="16"/>
    </row>
    <row r="15" customFormat="false" ht="18" hidden="false" customHeight="true" outlineLevel="0" collapsed="false">
      <c r="B15" s="7" t="s">
        <v>48</v>
      </c>
      <c r="C15" s="15" t="n">
        <f aca="false">NORMSINV(1-C14/2)</f>
        <v>2.32634787404084</v>
      </c>
      <c r="D15" s="16"/>
      <c r="E15" s="16"/>
      <c r="F15" s="16"/>
    </row>
    <row r="16" customFormat="false" ht="18" hidden="false" customHeight="true" outlineLevel="0" collapsed="false">
      <c r="B16" s="7" t="s">
        <v>49</v>
      </c>
      <c r="C16" s="15" t="n">
        <f aca="false">SQRT(C6^2/C4+C10^2/C8)</f>
        <v>2.87749891398763</v>
      </c>
      <c r="D16" s="16"/>
      <c r="E16" s="16"/>
      <c r="F16" s="16"/>
    </row>
    <row r="17" customFormat="false" ht="18" hidden="false" customHeight="true" outlineLevel="0" collapsed="false">
      <c r="B17" s="7" t="s">
        <v>33</v>
      </c>
      <c r="C17" s="15" t="n">
        <f aca="false">C5-C9</f>
        <v>25</v>
      </c>
      <c r="D17" s="16"/>
      <c r="E17" s="16"/>
      <c r="F17" s="16"/>
    </row>
    <row r="18" customFormat="false" ht="18" hidden="false" customHeight="true" outlineLevel="0" collapsed="false">
      <c r="B18" s="7" t="s">
        <v>50</v>
      </c>
      <c r="C18" s="15" t="n">
        <f aca="false">C15*C16</f>
        <v>6.69406348110996</v>
      </c>
      <c r="D18" s="16"/>
      <c r="E18" s="16"/>
      <c r="F18" s="16"/>
    </row>
    <row r="19" customFormat="false" ht="19.5" hidden="false" customHeight="true" outlineLevel="0" collapsed="false">
      <c r="B19" s="14" t="s">
        <v>35</v>
      </c>
      <c r="C19" s="14"/>
      <c r="D19" s="14"/>
      <c r="E19" s="14"/>
      <c r="F19" s="14"/>
    </row>
    <row r="20" customFormat="false" ht="21.75" hidden="false" customHeight="true" outlineLevel="0" collapsed="false">
      <c r="B20" s="18" t="s">
        <v>36</v>
      </c>
      <c r="C20" s="19" t="n">
        <f aca="false">C17-C18</f>
        <v>18.30593651889</v>
      </c>
      <c r="D20" s="19" t="n">
        <f aca="false">C17+C18</f>
        <v>31.69406348111</v>
      </c>
      <c r="E20" s="20" t="s">
        <v>51</v>
      </c>
      <c r="F20" s="21"/>
    </row>
    <row r="21" customFormat="false" ht="30" hidden="false" customHeight="true" outlineLevel="0" collapsed="false">
      <c r="B21" s="23" t="str">
        <f aca="false">IF(AND(C17-C18&lt;0,C17+C18&lt;0),"Con "&amp;TEXT(C12,"0%")&amp;" de confianza: μ₁ &lt; μ₂  →  la Muestra A es significativamente MENOR que B",IF(AND(C17-C18&gt;0,C17+C18&gt;0),"Con "&amp;TEXT(C12,"0%")&amp;" de confianza: μ₁ &gt; μ₂  →  la Muestra A es significativamente MAYOR que B","Con "&amp;TEXT(C12,"0%")&amp;" de confianza: NO hay diferencia significativa  (el IC contiene el 0)"))</f>
        <v>Con 98% de confianza: μ₁ &gt; μ₂  →  la Muestra A es significativamente MAYOR que B</v>
      </c>
      <c r="C21" s="23"/>
      <c r="D21" s="23"/>
      <c r="E21" s="23"/>
      <c r="F21" s="23"/>
    </row>
  </sheetData>
  <mergeCells count="8">
    <mergeCell ref="B1:E1"/>
    <mergeCell ref="B2:E2"/>
    <mergeCell ref="B3:F3"/>
    <mergeCell ref="B7:F7"/>
    <mergeCell ref="B11:F11"/>
    <mergeCell ref="B13:F13"/>
    <mergeCell ref="B19:F19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38"/>
  </cols>
  <sheetData>
    <row r="1" customFormat="false" ht="27.75" hidden="false" customHeight="true" outlineLevel="0" collapsed="false">
      <c r="B1" s="2" t="s">
        <v>52</v>
      </c>
      <c r="C1" s="2"/>
      <c r="D1" s="2"/>
      <c r="E1" s="2"/>
      <c r="F1" s="2"/>
    </row>
    <row r="2" customFormat="false" ht="18" hidden="false" customHeight="true" outlineLevel="0" collapsed="false">
      <c r="B2" s="24" t="s">
        <v>53</v>
      </c>
      <c r="C2" s="24"/>
      <c r="D2" s="24"/>
      <c r="E2" s="24"/>
      <c r="F2" s="24"/>
    </row>
    <row r="3" customFormat="false" ht="19.5" hidden="false" customHeight="true" outlineLevel="0" collapsed="false">
      <c r="B3" s="4" t="s">
        <v>54</v>
      </c>
      <c r="C3" s="4"/>
      <c r="D3" s="4"/>
      <c r="E3" s="4"/>
      <c r="F3" s="4"/>
    </row>
    <row r="4" customFormat="false" ht="18" hidden="false" customHeight="true" outlineLevel="0" collapsed="false">
      <c r="B4" s="7" t="s">
        <v>5</v>
      </c>
      <c r="C4" s="8" t="n">
        <v>12</v>
      </c>
      <c r="D4" s="25"/>
      <c r="E4" s="10" t="s">
        <v>55</v>
      </c>
      <c r="F4" s="9"/>
    </row>
    <row r="5" customFormat="false" ht="18" hidden="false" customHeight="true" outlineLevel="0" collapsed="false">
      <c r="B5" s="7" t="s">
        <v>7</v>
      </c>
      <c r="C5" s="11" t="n">
        <v>450</v>
      </c>
      <c r="D5" s="25"/>
      <c r="E5" s="10"/>
      <c r="F5" s="9"/>
    </row>
    <row r="6" customFormat="false" ht="18" hidden="false" customHeight="true" outlineLevel="0" collapsed="false">
      <c r="B6" s="7" t="s">
        <v>56</v>
      </c>
      <c r="C6" s="11" t="n">
        <v>30</v>
      </c>
      <c r="D6" s="25"/>
      <c r="E6" s="10" t="s">
        <v>57</v>
      </c>
      <c r="F6" s="9"/>
    </row>
    <row r="7" customFormat="false" ht="19.5" hidden="false" customHeight="true" outlineLevel="0" collapsed="false">
      <c r="B7" s="4" t="s">
        <v>58</v>
      </c>
      <c r="C7" s="4"/>
      <c r="D7" s="4"/>
      <c r="E7" s="4"/>
      <c r="F7" s="4"/>
    </row>
    <row r="8" customFormat="false" ht="18" hidden="false" customHeight="true" outlineLevel="0" collapsed="false">
      <c r="B8" s="7" t="s">
        <v>13</v>
      </c>
      <c r="C8" s="8" t="n">
        <v>10</v>
      </c>
      <c r="D8" s="25"/>
      <c r="E8" s="10" t="s">
        <v>55</v>
      </c>
      <c r="F8" s="9"/>
    </row>
    <row r="9" customFormat="false" ht="18" hidden="false" customHeight="true" outlineLevel="0" collapsed="false">
      <c r="B9" s="7" t="s">
        <v>14</v>
      </c>
      <c r="C9" s="11" t="n">
        <v>410</v>
      </c>
      <c r="D9" s="25"/>
      <c r="E9" s="10"/>
      <c r="F9" s="9"/>
    </row>
    <row r="10" customFormat="false" ht="18" hidden="false" customHeight="true" outlineLevel="0" collapsed="false">
      <c r="B10" s="7" t="s">
        <v>59</v>
      </c>
      <c r="C10" s="11" t="n">
        <v>25</v>
      </c>
      <c r="D10" s="25"/>
      <c r="E10" s="10" t="s">
        <v>57</v>
      </c>
      <c r="F10" s="9"/>
    </row>
    <row r="11" customFormat="false" ht="19.5" hidden="false" customHeight="true" outlineLevel="0" collapsed="false">
      <c r="B11" s="4" t="s">
        <v>17</v>
      </c>
      <c r="C11" s="4"/>
      <c r="D11" s="4"/>
      <c r="E11" s="4"/>
      <c r="F11" s="4"/>
    </row>
    <row r="12" customFormat="false" ht="18" hidden="false" customHeight="true" outlineLevel="0" collapsed="false">
      <c r="B12" s="7" t="s">
        <v>18</v>
      </c>
      <c r="C12" s="12" t="n">
        <v>0.99</v>
      </c>
      <c r="D12" s="25"/>
      <c r="E12" s="10" t="s">
        <v>60</v>
      </c>
      <c r="F12" s="9"/>
    </row>
    <row r="13" customFormat="false" ht="19.5" hidden="false" customHeight="true" outlineLevel="0" collapsed="false">
      <c r="B13" s="14" t="s">
        <v>47</v>
      </c>
      <c r="C13" s="14"/>
      <c r="D13" s="14"/>
      <c r="E13" s="14"/>
      <c r="F13" s="14"/>
    </row>
    <row r="14" customFormat="false" ht="18" hidden="false" customHeight="true" outlineLevel="0" collapsed="false">
      <c r="B14" s="7" t="s">
        <v>23</v>
      </c>
      <c r="C14" s="15" t="n">
        <f aca="false">1-C12</f>
        <v>0.01</v>
      </c>
      <c r="D14" s="16"/>
      <c r="E14" s="16"/>
      <c r="F14" s="16"/>
    </row>
    <row r="15" customFormat="false" ht="18" hidden="false" customHeight="true" outlineLevel="0" collapsed="false">
      <c r="B15" s="7" t="s">
        <v>61</v>
      </c>
      <c r="C15" s="17" t="n">
        <f aca="false">C4+C8-2</f>
        <v>20</v>
      </c>
      <c r="D15" s="16"/>
      <c r="E15" s="16"/>
      <c r="F15" s="16"/>
    </row>
    <row r="16" customFormat="false" ht="18" hidden="false" customHeight="true" outlineLevel="0" collapsed="false">
      <c r="B16" s="7" t="s">
        <v>62</v>
      </c>
      <c r="C16" s="15" t="n">
        <f aca="false">((C4-1)*C6^2+(C8-1)*C10^2)/C15</f>
        <v>776.25</v>
      </c>
      <c r="D16" s="16"/>
      <c r="E16" s="16"/>
      <c r="F16" s="16"/>
    </row>
    <row r="17" customFormat="false" ht="18" hidden="false" customHeight="true" outlineLevel="0" collapsed="false">
      <c r="B17" s="7" t="s">
        <v>63</v>
      </c>
      <c r="C17" s="15" t="n">
        <f aca="false">TINV(C14,C15)</f>
        <v>2.84533970978611</v>
      </c>
      <c r="D17" s="16"/>
      <c r="E17" s="16"/>
      <c r="F17" s="16"/>
    </row>
    <row r="18" customFormat="false" ht="18" hidden="false" customHeight="true" outlineLevel="0" collapsed="false">
      <c r="B18" s="7" t="s">
        <v>64</v>
      </c>
      <c r="C18" s="15" t="n">
        <f aca="false">SQRT(C16*(1/C4+1/C8))</f>
        <v>11.9294802904402</v>
      </c>
      <c r="D18" s="16"/>
      <c r="E18" s="16"/>
      <c r="F18" s="16"/>
    </row>
    <row r="19" customFormat="false" ht="18" hidden="false" customHeight="true" outlineLevel="0" collapsed="false">
      <c r="B19" s="7" t="s">
        <v>33</v>
      </c>
      <c r="C19" s="15" t="n">
        <f aca="false">C5-C9</f>
        <v>40</v>
      </c>
      <c r="D19" s="16"/>
      <c r="E19" s="16"/>
      <c r="F19" s="16"/>
    </row>
    <row r="20" customFormat="false" ht="18" hidden="false" customHeight="true" outlineLevel="0" collapsed="false">
      <c r="B20" s="7" t="s">
        <v>65</v>
      </c>
      <c r="C20" s="15" t="n">
        <f aca="false">C17*C18</f>
        <v>33.9434239875001</v>
      </c>
      <c r="D20" s="16"/>
      <c r="E20" s="16"/>
      <c r="F20" s="16"/>
    </row>
    <row r="21" customFormat="false" ht="19.5" hidden="false" customHeight="true" outlineLevel="0" collapsed="false">
      <c r="B21" s="14" t="s">
        <v>35</v>
      </c>
      <c r="C21" s="14"/>
      <c r="D21" s="14"/>
      <c r="E21" s="14"/>
      <c r="F21" s="14"/>
    </row>
    <row r="22" customFormat="false" ht="21.75" hidden="false" customHeight="true" outlineLevel="0" collapsed="false">
      <c r="B22" s="18" t="s">
        <v>36</v>
      </c>
      <c r="C22" s="19" t="n">
        <f aca="false">C19-C20</f>
        <v>6.05657601249994</v>
      </c>
      <c r="D22" s="19" t="n">
        <f aca="false">C19+C20</f>
        <v>73.9434239875001</v>
      </c>
      <c r="E22" s="20" t="s">
        <v>51</v>
      </c>
      <c r="F22" s="21"/>
    </row>
    <row r="23" customFormat="false" ht="30" hidden="false" customHeight="true" outlineLevel="0" collapsed="false">
      <c r="B23" s="23" t="str">
        <f aca="false">IF(AND(C19-C20&lt;0,C19+C20&lt;0),"Con "&amp;TEXT(C12,"0%")&amp;" de confianza: μ₁ &lt; μ₂  →  la Muestra A es significativamente MENOR que B",IF(AND(C19-C20&gt;0,C19+C20&gt;0),"Con "&amp;TEXT(C12,"0%")&amp;" de confianza: μ₁ &gt; μ₂  →  la Muestra A es significativamente MAYOR que B","Con "&amp;TEXT(C12,"0%")&amp;" de confianza: NO hay diferencia significativa  (el IC contiene el 0)"))</f>
        <v>Con 99% de confianza: μ₁ &gt; μ₂  →  la Muestra A es significativamente MAYOR que B</v>
      </c>
      <c r="C23" s="23"/>
      <c r="D23" s="23"/>
      <c r="E23" s="23"/>
      <c r="F23" s="23"/>
    </row>
  </sheetData>
  <mergeCells count="8">
    <mergeCell ref="B1:F1"/>
    <mergeCell ref="B2:F2"/>
    <mergeCell ref="B3:F3"/>
    <mergeCell ref="B7:F7"/>
    <mergeCell ref="B11:F11"/>
    <mergeCell ref="B13:F13"/>
    <mergeCell ref="B21:F21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38"/>
  </cols>
  <sheetData>
    <row r="1" customFormat="false" ht="27.75" hidden="false" customHeight="true" outlineLevel="0" collapsed="false">
      <c r="B1" s="2" t="s">
        <v>66</v>
      </c>
      <c r="C1" s="2"/>
      <c r="D1" s="2"/>
      <c r="E1" s="2"/>
      <c r="F1" s="2"/>
    </row>
    <row r="2" customFormat="false" ht="18" hidden="false" customHeight="true" outlineLevel="0" collapsed="false">
      <c r="B2" s="24" t="s">
        <v>67</v>
      </c>
      <c r="C2" s="24"/>
      <c r="D2" s="24"/>
      <c r="E2" s="24"/>
      <c r="F2" s="24"/>
    </row>
    <row r="3" customFormat="false" ht="19.5" hidden="false" customHeight="true" outlineLevel="0" collapsed="false">
      <c r="B3" s="4" t="s">
        <v>4</v>
      </c>
      <c r="C3" s="4"/>
      <c r="D3" s="4"/>
      <c r="E3" s="4"/>
      <c r="F3" s="4"/>
    </row>
    <row r="4" customFormat="false" ht="18" hidden="false" customHeight="true" outlineLevel="0" collapsed="false">
      <c r="B4" s="7" t="s">
        <v>5</v>
      </c>
      <c r="C4" s="8" t="n">
        <v>8</v>
      </c>
      <c r="D4" s="25"/>
      <c r="E4" s="10" t="s">
        <v>55</v>
      </c>
      <c r="F4" s="9"/>
    </row>
    <row r="5" customFormat="false" ht="18" hidden="false" customHeight="true" outlineLevel="0" collapsed="false">
      <c r="B5" s="7" t="s">
        <v>7</v>
      </c>
      <c r="C5" s="11" t="n">
        <v>45</v>
      </c>
      <c r="D5" s="25"/>
      <c r="E5" s="10"/>
      <c r="F5" s="9"/>
    </row>
    <row r="6" customFormat="false" ht="18" hidden="false" customHeight="true" outlineLevel="0" collapsed="false">
      <c r="B6" s="7" t="s">
        <v>56</v>
      </c>
      <c r="C6" s="11" t="n">
        <v>3</v>
      </c>
      <c r="D6" s="25"/>
      <c r="E6" s="10"/>
      <c r="F6" s="9"/>
    </row>
    <row r="7" customFormat="false" ht="19.5" hidden="false" customHeight="true" outlineLevel="0" collapsed="false">
      <c r="B7" s="4" t="s">
        <v>12</v>
      </c>
      <c r="C7" s="4"/>
      <c r="D7" s="4"/>
      <c r="E7" s="4"/>
      <c r="F7" s="4"/>
    </row>
    <row r="8" customFormat="false" ht="18" hidden="false" customHeight="true" outlineLevel="0" collapsed="false">
      <c r="B8" s="7" t="s">
        <v>13</v>
      </c>
      <c r="C8" s="8" t="n">
        <v>10</v>
      </c>
      <c r="D8" s="25"/>
      <c r="E8" s="10" t="s">
        <v>55</v>
      </c>
      <c r="F8" s="9"/>
    </row>
    <row r="9" customFormat="false" ht="18" hidden="false" customHeight="true" outlineLevel="0" collapsed="false">
      <c r="B9" s="7" t="s">
        <v>14</v>
      </c>
      <c r="C9" s="11" t="n">
        <v>52</v>
      </c>
      <c r="D9" s="25"/>
      <c r="E9" s="10"/>
      <c r="F9" s="9"/>
    </row>
    <row r="10" customFormat="false" ht="18" hidden="false" customHeight="true" outlineLevel="0" collapsed="false">
      <c r="B10" s="7" t="s">
        <v>59</v>
      </c>
      <c r="C10" s="11" t="n">
        <v>8</v>
      </c>
      <c r="D10" s="25"/>
      <c r="E10" s="10"/>
      <c r="F10" s="9"/>
    </row>
    <row r="11" customFormat="false" ht="19.5" hidden="false" customHeight="true" outlineLevel="0" collapsed="false">
      <c r="B11" s="4" t="s">
        <v>17</v>
      </c>
      <c r="C11" s="4"/>
      <c r="D11" s="4"/>
      <c r="E11" s="4"/>
      <c r="F11" s="4"/>
    </row>
    <row r="12" customFormat="false" ht="18" hidden="false" customHeight="true" outlineLevel="0" collapsed="false">
      <c r="B12" s="7" t="s">
        <v>18</v>
      </c>
      <c r="C12" s="12" t="n">
        <v>0.95</v>
      </c>
      <c r="D12" s="25"/>
      <c r="E12" s="10" t="s">
        <v>19</v>
      </c>
      <c r="F12" s="9"/>
    </row>
    <row r="13" customFormat="false" ht="19.5" hidden="false" customHeight="true" outlineLevel="0" collapsed="false">
      <c r="B13" s="14" t="s">
        <v>68</v>
      </c>
      <c r="C13" s="14"/>
      <c r="D13" s="14"/>
      <c r="E13" s="14"/>
      <c r="F13" s="14"/>
    </row>
    <row r="14" customFormat="false" ht="18" hidden="false" customHeight="true" outlineLevel="0" collapsed="false">
      <c r="B14" s="7" t="s">
        <v>23</v>
      </c>
      <c r="C14" s="15" t="n">
        <f aca="false">1-C12</f>
        <v>0.05</v>
      </c>
      <c r="D14" s="16"/>
      <c r="E14" s="16"/>
      <c r="F14" s="16"/>
    </row>
    <row r="15" customFormat="false" ht="18" hidden="false" customHeight="true" outlineLevel="0" collapsed="false">
      <c r="B15" s="7" t="s">
        <v>69</v>
      </c>
      <c r="C15" s="15" t="n">
        <f aca="false">C6^2/C4</f>
        <v>1.125</v>
      </c>
      <c r="D15" s="16"/>
      <c r="E15" s="16"/>
      <c r="F15" s="16"/>
    </row>
    <row r="16" customFormat="false" ht="18" hidden="false" customHeight="true" outlineLevel="0" collapsed="false">
      <c r="B16" s="7" t="s">
        <v>70</v>
      </c>
      <c r="C16" s="15" t="n">
        <f aca="false">C10^2/C8</f>
        <v>6.4</v>
      </c>
      <c r="D16" s="16"/>
      <c r="E16" s="16"/>
      <c r="F16" s="16"/>
    </row>
    <row r="17" customFormat="false" ht="18" hidden="false" customHeight="true" outlineLevel="0" collapsed="false">
      <c r="B17" s="7" t="s">
        <v>71</v>
      </c>
      <c r="C17" s="17" t="n">
        <f aca="false">INT((C15+C16)^2/(C15^2/(C4-1)+C16^2/(C8-1)))</f>
        <v>11</v>
      </c>
      <c r="D17" s="16"/>
      <c r="E17" s="16"/>
      <c r="F17" s="16"/>
    </row>
    <row r="18" customFormat="false" ht="18" hidden="false" customHeight="true" outlineLevel="0" collapsed="false">
      <c r="B18" s="7" t="s">
        <v>72</v>
      </c>
      <c r="C18" s="15" t="n">
        <f aca="false">TINV(C14,C17)</f>
        <v>2.20098516009164</v>
      </c>
      <c r="D18" s="16"/>
      <c r="E18" s="16"/>
      <c r="F18" s="16"/>
    </row>
    <row r="19" customFormat="false" ht="18" hidden="false" customHeight="true" outlineLevel="0" collapsed="false">
      <c r="B19" s="7" t="s">
        <v>73</v>
      </c>
      <c r="C19" s="15" t="n">
        <f aca="false">SQRT(C15+C16)</f>
        <v>2.74317334486904</v>
      </c>
      <c r="D19" s="16"/>
      <c r="E19" s="16"/>
      <c r="F19" s="16"/>
    </row>
    <row r="20" customFormat="false" ht="18" hidden="false" customHeight="true" outlineLevel="0" collapsed="false">
      <c r="B20" s="7" t="s">
        <v>33</v>
      </c>
      <c r="C20" s="15" t="n">
        <f aca="false">C5-C9</f>
        <v>-7</v>
      </c>
      <c r="D20" s="16"/>
      <c r="E20" s="16"/>
      <c r="F20" s="16"/>
    </row>
    <row r="21" customFormat="false" ht="18" hidden="false" customHeight="true" outlineLevel="0" collapsed="false">
      <c r="B21" s="7" t="s">
        <v>65</v>
      </c>
      <c r="C21" s="15" t="n">
        <f aca="false">C18*C19</f>
        <v>6.0376838236157</v>
      </c>
      <c r="D21" s="16"/>
      <c r="E21" s="16"/>
      <c r="F21" s="16"/>
    </row>
    <row r="22" customFormat="false" ht="19.5" hidden="false" customHeight="true" outlineLevel="0" collapsed="false">
      <c r="B22" s="14" t="s">
        <v>35</v>
      </c>
      <c r="C22" s="14"/>
      <c r="D22" s="14"/>
      <c r="E22" s="14"/>
      <c r="F22" s="14"/>
    </row>
    <row r="23" customFormat="false" ht="21.75" hidden="false" customHeight="true" outlineLevel="0" collapsed="false">
      <c r="B23" s="18" t="s">
        <v>36</v>
      </c>
      <c r="C23" s="19" t="n">
        <f aca="false">C20-C21</f>
        <v>-13.0376838236157</v>
      </c>
      <c r="D23" s="19" t="n">
        <f aca="false">C20+C21</f>
        <v>-0.962316176384299</v>
      </c>
      <c r="E23" s="20" t="s">
        <v>51</v>
      </c>
      <c r="F23" s="21"/>
    </row>
    <row r="24" customFormat="false" ht="30" hidden="false" customHeight="true" outlineLevel="0" collapsed="false">
      <c r="B24" s="23" t="str">
        <f aca="false">IF(AND(C20-C21&lt;0,C20+C21&lt;0),"Con "&amp;TEXT(C12,"0%")&amp;" de confianza: μ₁ &lt; μ₂  →  la Muestra A es significativamente MENOR que B",IF(AND(C20-C21&gt;0,C20+C21&gt;0),"Con "&amp;TEXT(C12,"0%")&amp;" de confianza: μ₁ &gt; μ₂  →  la Muestra A es significativamente MAYOR que B","Con "&amp;TEXT(C12,"0%")&amp;" de confianza: NO hay diferencia significativa  (el IC contiene el 0)"))</f>
        <v>Con 95% de confianza: μ₁ &lt; μ₂  →  la Muestra A es significativamente MENOR que B</v>
      </c>
      <c r="C24" s="23"/>
      <c r="D24" s="23"/>
      <c r="E24" s="23"/>
      <c r="F24" s="23"/>
    </row>
  </sheetData>
  <mergeCells count="8">
    <mergeCell ref="B1:F1"/>
    <mergeCell ref="B2:F2"/>
    <mergeCell ref="B3:F3"/>
    <mergeCell ref="B7:F7"/>
    <mergeCell ref="B11:F11"/>
    <mergeCell ref="B13:F13"/>
    <mergeCell ref="B22:F22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38"/>
  </cols>
  <sheetData>
    <row r="1" customFormat="false" ht="27.75" hidden="false" customHeight="true" outlineLevel="0" collapsed="false">
      <c r="B1" s="2" t="s">
        <v>74</v>
      </c>
      <c r="C1" s="2"/>
      <c r="D1" s="2"/>
      <c r="E1" s="2"/>
      <c r="F1" s="2"/>
    </row>
    <row r="2" customFormat="false" ht="18" hidden="false" customHeight="true" outlineLevel="0" collapsed="false">
      <c r="B2" s="24" t="s">
        <v>75</v>
      </c>
      <c r="C2" s="24"/>
      <c r="D2" s="24"/>
      <c r="E2" s="24"/>
      <c r="F2" s="24"/>
    </row>
    <row r="3" customFormat="false" ht="19.5" hidden="false" customHeight="true" outlineLevel="0" collapsed="false">
      <c r="B3" s="4" t="s">
        <v>4</v>
      </c>
      <c r="C3" s="4"/>
      <c r="D3" s="4"/>
      <c r="E3" s="4"/>
      <c r="F3" s="4"/>
    </row>
    <row r="4" customFormat="false" ht="18" hidden="false" customHeight="true" outlineLevel="0" collapsed="false">
      <c r="B4" s="7" t="s">
        <v>5</v>
      </c>
      <c r="C4" s="8" t="n">
        <v>40</v>
      </c>
      <c r="D4" s="25"/>
      <c r="E4" s="10" t="s">
        <v>76</v>
      </c>
      <c r="F4" s="9"/>
    </row>
    <row r="5" customFormat="false" ht="18" hidden="false" customHeight="true" outlineLevel="0" collapsed="false">
      <c r="B5" s="7" t="s">
        <v>7</v>
      </c>
      <c r="C5" s="11" t="n">
        <v>120</v>
      </c>
      <c r="D5" s="25"/>
      <c r="E5" s="10"/>
      <c r="F5" s="9"/>
    </row>
    <row r="6" customFormat="false" ht="18" hidden="false" customHeight="true" outlineLevel="0" collapsed="false">
      <c r="B6" s="7" t="s">
        <v>56</v>
      </c>
      <c r="C6" s="11" t="n">
        <v>15</v>
      </c>
      <c r="D6" s="25"/>
      <c r="E6" s="10" t="s">
        <v>77</v>
      </c>
      <c r="F6" s="9"/>
    </row>
    <row r="7" customFormat="false" ht="19.5" hidden="false" customHeight="true" outlineLevel="0" collapsed="false">
      <c r="B7" s="4" t="s">
        <v>12</v>
      </c>
      <c r="C7" s="4"/>
      <c r="D7" s="4"/>
      <c r="E7" s="4"/>
      <c r="F7" s="4"/>
    </row>
    <row r="8" customFormat="false" ht="18" hidden="false" customHeight="true" outlineLevel="0" collapsed="false">
      <c r="B8" s="7" t="s">
        <v>13</v>
      </c>
      <c r="C8" s="8" t="n">
        <v>50</v>
      </c>
      <c r="D8" s="25"/>
      <c r="E8" s="10" t="s">
        <v>76</v>
      </c>
      <c r="F8" s="9"/>
    </row>
    <row r="9" customFormat="false" ht="18" hidden="false" customHeight="true" outlineLevel="0" collapsed="false">
      <c r="B9" s="7" t="s">
        <v>14</v>
      </c>
      <c r="C9" s="11" t="n">
        <v>132</v>
      </c>
      <c r="D9" s="25"/>
      <c r="E9" s="10"/>
      <c r="F9" s="9"/>
    </row>
    <row r="10" customFormat="false" ht="18" hidden="false" customHeight="true" outlineLevel="0" collapsed="false">
      <c r="B10" s="7" t="s">
        <v>59</v>
      </c>
      <c r="C10" s="11" t="n">
        <v>20</v>
      </c>
      <c r="D10" s="25"/>
      <c r="E10" s="10" t="s">
        <v>77</v>
      </c>
      <c r="F10" s="9"/>
    </row>
    <row r="11" customFormat="false" ht="19.5" hidden="false" customHeight="true" outlineLevel="0" collapsed="false">
      <c r="B11" s="4" t="s">
        <v>17</v>
      </c>
      <c r="C11" s="4"/>
      <c r="D11" s="4"/>
      <c r="E11" s="4"/>
      <c r="F11" s="4"/>
    </row>
    <row r="12" customFormat="false" ht="18" hidden="false" customHeight="true" outlineLevel="0" collapsed="false">
      <c r="B12" s="7" t="s">
        <v>18</v>
      </c>
      <c r="C12" s="12" t="n">
        <v>0.95</v>
      </c>
      <c r="D12" s="25"/>
      <c r="E12" s="10" t="s">
        <v>19</v>
      </c>
      <c r="F12" s="9"/>
    </row>
    <row r="13" customFormat="false" ht="19.5" hidden="false" customHeight="true" outlineLevel="0" collapsed="false">
      <c r="B13" s="14" t="s">
        <v>47</v>
      </c>
      <c r="C13" s="14"/>
      <c r="D13" s="14"/>
      <c r="E13" s="14"/>
      <c r="F13" s="14"/>
    </row>
    <row r="14" customFormat="false" ht="18" hidden="false" customHeight="true" outlineLevel="0" collapsed="false">
      <c r="B14" s="7" t="s">
        <v>23</v>
      </c>
      <c r="C14" s="15" t="n">
        <f aca="false">1-C12</f>
        <v>0.05</v>
      </c>
      <c r="D14" s="16"/>
      <c r="E14" s="16"/>
      <c r="F14" s="16"/>
    </row>
    <row r="15" customFormat="false" ht="18" hidden="false" customHeight="true" outlineLevel="0" collapsed="false">
      <c r="B15" s="7" t="s">
        <v>48</v>
      </c>
      <c r="C15" s="15" t="n">
        <f aca="false">NORMSINV(1-C14/2)</f>
        <v>1.95996398454005</v>
      </c>
      <c r="D15" s="16"/>
      <c r="E15" s="16"/>
      <c r="F15" s="16"/>
    </row>
    <row r="16" customFormat="false" ht="18" hidden="false" customHeight="true" outlineLevel="0" collapsed="false">
      <c r="B16" s="7" t="s">
        <v>73</v>
      </c>
      <c r="C16" s="15" t="n">
        <f aca="false">SQRT(C6^2/C4+C10^2/C8)</f>
        <v>3.69120576505835</v>
      </c>
      <c r="D16" s="16"/>
      <c r="E16" s="16"/>
      <c r="F16" s="16"/>
    </row>
    <row r="17" customFormat="false" ht="18" hidden="false" customHeight="true" outlineLevel="0" collapsed="false">
      <c r="B17" s="7" t="s">
        <v>33</v>
      </c>
      <c r="C17" s="15" t="n">
        <f aca="false">C5-C9</f>
        <v>-12</v>
      </c>
      <c r="D17" s="16"/>
      <c r="E17" s="16"/>
      <c r="F17" s="16"/>
    </row>
    <row r="18" customFormat="false" ht="18" hidden="false" customHeight="true" outlineLevel="0" collapsed="false">
      <c r="B18" s="7" t="s">
        <v>50</v>
      </c>
      <c r="C18" s="15" t="n">
        <f aca="false">C15*C16</f>
        <v>7.23463035904098</v>
      </c>
      <c r="D18" s="16"/>
      <c r="E18" s="16"/>
      <c r="F18" s="16"/>
    </row>
    <row r="19" customFormat="false" ht="19.5" hidden="false" customHeight="true" outlineLevel="0" collapsed="false">
      <c r="B19" s="14" t="s">
        <v>35</v>
      </c>
      <c r="C19" s="14"/>
      <c r="D19" s="14"/>
      <c r="E19" s="14"/>
      <c r="F19" s="14"/>
    </row>
    <row r="20" customFormat="false" ht="21.75" hidden="false" customHeight="true" outlineLevel="0" collapsed="false">
      <c r="B20" s="18" t="s">
        <v>36</v>
      </c>
      <c r="C20" s="19" t="n">
        <f aca="false">C17-C18</f>
        <v>-19.234630359041</v>
      </c>
      <c r="D20" s="19" t="n">
        <f aca="false">C17+C18</f>
        <v>-4.76536964095902</v>
      </c>
      <c r="E20" s="20" t="s">
        <v>51</v>
      </c>
      <c r="F20" s="21"/>
    </row>
    <row r="21" customFormat="false" ht="30" hidden="false" customHeight="true" outlineLevel="0" collapsed="false">
      <c r="B21" s="23" t="str">
        <f aca="false">IF(AND(C17-C18&lt;0,C17+C18&lt;0),"Con "&amp;TEXT(C12,"0%")&amp;" de confianza: μ₁ &lt; μ₂  →  la Muestra A es significativamente MENOR que B",IF(AND(C17-C18&gt;0,C17+C18&gt;0),"Con "&amp;TEXT(C12,"0%")&amp;" de confianza: μ₁ &gt; μ₂  →  la Muestra A es significativamente MAYOR que B","Con "&amp;TEXT(C12,"0%")&amp;" de confianza: NO hay diferencia significativa  (el IC contiene el 0)"))</f>
        <v>Con 95% de confianza: μ₁ &lt; μ₂  →  la Muestra A es significativamente MENOR que B</v>
      </c>
      <c r="C21" s="23"/>
      <c r="D21" s="23"/>
      <c r="E21" s="23"/>
      <c r="F21" s="23"/>
    </row>
  </sheetData>
  <mergeCells count="8">
    <mergeCell ref="B1:F1"/>
    <mergeCell ref="B2:F2"/>
    <mergeCell ref="B3:F3"/>
    <mergeCell ref="B7:F7"/>
    <mergeCell ref="B11:F11"/>
    <mergeCell ref="B13:F13"/>
    <mergeCell ref="B19:F19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38"/>
  </cols>
  <sheetData>
    <row r="1" customFormat="false" ht="27.75" hidden="false" customHeight="true" outlineLevel="0" collapsed="false">
      <c r="B1" s="2" t="s">
        <v>78</v>
      </c>
      <c r="C1" s="2"/>
      <c r="D1" s="2"/>
      <c r="E1" s="2"/>
      <c r="F1" s="2"/>
    </row>
    <row r="2" customFormat="false" ht="18" hidden="false" customHeight="true" outlineLevel="0" collapsed="false">
      <c r="B2" s="24" t="s">
        <v>79</v>
      </c>
      <c r="C2" s="24"/>
      <c r="D2" s="24"/>
      <c r="E2" s="24"/>
      <c r="F2" s="24"/>
    </row>
    <row r="3" customFormat="false" ht="19.5" hidden="false" customHeight="true" outlineLevel="0" collapsed="false">
      <c r="B3" s="4" t="s">
        <v>80</v>
      </c>
      <c r="C3" s="4"/>
      <c r="D3" s="4"/>
      <c r="E3" s="4"/>
      <c r="F3" s="4"/>
    </row>
    <row r="4" customFormat="false" ht="18" hidden="false" customHeight="true" outlineLevel="0" collapsed="false">
      <c r="B4" s="7" t="s">
        <v>81</v>
      </c>
      <c r="C4" s="8" t="n">
        <v>10</v>
      </c>
      <c r="D4" s="25"/>
      <c r="E4" s="10" t="s">
        <v>82</v>
      </c>
      <c r="F4" s="9"/>
    </row>
    <row r="5" customFormat="false" ht="18" hidden="false" customHeight="true" outlineLevel="0" collapsed="false">
      <c r="B5" s="7" t="s">
        <v>83</v>
      </c>
      <c r="C5" s="11" t="n">
        <v>5.2</v>
      </c>
      <c r="D5" s="25"/>
      <c r="E5" s="10" t="s">
        <v>84</v>
      </c>
      <c r="F5" s="9"/>
    </row>
    <row r="6" customFormat="false" ht="18" hidden="false" customHeight="true" outlineLevel="0" collapsed="false">
      <c r="B6" s="7" t="s">
        <v>85</v>
      </c>
      <c r="C6" s="11" t="n">
        <v>2.8</v>
      </c>
      <c r="D6" s="25"/>
      <c r="E6" s="10" t="s">
        <v>86</v>
      </c>
      <c r="F6" s="9"/>
    </row>
    <row r="7" customFormat="false" ht="19.5" hidden="false" customHeight="true" outlineLevel="0" collapsed="false">
      <c r="B7" s="4" t="s">
        <v>17</v>
      </c>
      <c r="C7" s="4"/>
      <c r="D7" s="4"/>
      <c r="E7" s="4"/>
      <c r="F7" s="4"/>
    </row>
    <row r="8" customFormat="false" ht="18" hidden="false" customHeight="true" outlineLevel="0" collapsed="false">
      <c r="B8" s="7" t="s">
        <v>18</v>
      </c>
      <c r="C8" s="12" t="n">
        <v>0.95</v>
      </c>
      <c r="D8" s="25"/>
      <c r="E8" s="10" t="s">
        <v>19</v>
      </c>
      <c r="F8" s="9"/>
    </row>
    <row r="9" customFormat="false" ht="19.5" hidden="false" customHeight="true" outlineLevel="0" collapsed="false">
      <c r="B9" s="14" t="s">
        <v>47</v>
      </c>
      <c r="C9" s="14"/>
      <c r="D9" s="14"/>
      <c r="E9" s="14"/>
      <c r="F9" s="14"/>
    </row>
    <row r="10" customFormat="false" ht="18" hidden="false" customHeight="true" outlineLevel="0" collapsed="false">
      <c r="B10" s="7" t="s">
        <v>23</v>
      </c>
      <c r="C10" s="15" t="n">
        <f aca="false">1-C8</f>
        <v>0.05</v>
      </c>
      <c r="D10" s="16"/>
      <c r="E10" s="16"/>
      <c r="F10" s="16"/>
    </row>
    <row r="11" customFormat="false" ht="18" hidden="false" customHeight="true" outlineLevel="0" collapsed="false">
      <c r="B11" s="7" t="s">
        <v>87</v>
      </c>
      <c r="C11" s="17" t="n">
        <f aca="false">C4-1</f>
        <v>9</v>
      </c>
      <c r="D11" s="16"/>
      <c r="E11" s="16"/>
      <c r="F11" s="16"/>
    </row>
    <row r="12" customFormat="false" ht="18" hidden="false" customHeight="true" outlineLevel="0" collapsed="false">
      <c r="B12" s="7" t="s">
        <v>63</v>
      </c>
      <c r="C12" s="15" t="n">
        <f aca="false">TINV(C10,C11)</f>
        <v>2.26215716279821</v>
      </c>
      <c r="D12" s="16"/>
      <c r="E12" s="16"/>
      <c r="F12" s="16"/>
    </row>
    <row r="13" customFormat="false" ht="18" hidden="false" customHeight="true" outlineLevel="0" collapsed="false">
      <c r="B13" s="7" t="s">
        <v>88</v>
      </c>
      <c r="C13" s="15" t="n">
        <f aca="false">C6/SQRT(C4)</f>
        <v>0.885437744847146</v>
      </c>
      <c r="D13" s="16"/>
      <c r="E13" s="16"/>
      <c r="F13" s="16"/>
    </row>
    <row r="14" customFormat="false" ht="18" hidden="false" customHeight="true" outlineLevel="0" collapsed="false">
      <c r="B14" s="7" t="s">
        <v>65</v>
      </c>
      <c r="C14" s="15" t="n">
        <f aca="false">C12*C13</f>
        <v>2.00299933671786</v>
      </c>
      <c r="D14" s="16"/>
      <c r="E14" s="16"/>
      <c r="F14" s="16"/>
    </row>
    <row r="15" customFormat="false" ht="19.5" hidden="false" customHeight="true" outlineLevel="0" collapsed="false">
      <c r="B15" s="14" t="s">
        <v>35</v>
      </c>
      <c r="C15" s="14"/>
      <c r="D15" s="14"/>
      <c r="E15" s="14"/>
      <c r="F15" s="14"/>
    </row>
    <row r="16" customFormat="false" ht="21.75" hidden="false" customHeight="true" outlineLevel="0" collapsed="false">
      <c r="B16" s="18" t="s">
        <v>36</v>
      </c>
      <c r="C16" s="19" t="n">
        <f aca="false">C5-C14</f>
        <v>3.19700066328214</v>
      </c>
      <c r="D16" s="19" t="n">
        <f aca="false">C5+C14</f>
        <v>7.20299933671786</v>
      </c>
      <c r="E16" s="20" t="s">
        <v>51</v>
      </c>
      <c r="F16" s="21"/>
    </row>
    <row r="17" customFormat="false" ht="30" hidden="false" customHeight="true" outlineLevel="0" collapsed="false">
      <c r="B17" s="23" t="str">
        <f aca="false">IF(AND(C5-C14&lt;0,C5+C14&lt;0),"Con "&amp;TEXT(C8,"0%")&amp;" de confianza: d̄ &lt; 0  →  la condición 2 es significativamente MAYOR que la condición 1",IF(AND(C5-C14&gt;0,C5+C14&gt;0),"Con "&amp;TEXT(C8,"0%")&amp;" de confianza: d̄ &gt; 0  →  la condición 1 es significativamente MAYOR que la condición 2","Con "&amp;TEXT(C8,"0%")&amp;" de confianza: NO hay diferencia significativa entre las dos condiciones  (el IC contiene el 0)"))</f>
        <v>Con 95% de confianza: d̄ &gt; 0  →  la condición 1 es significativamente MAYOR que la condición 2</v>
      </c>
      <c r="C17" s="23"/>
      <c r="D17" s="23"/>
      <c r="E17" s="23"/>
      <c r="F17" s="23"/>
    </row>
  </sheetData>
  <mergeCells count="7">
    <mergeCell ref="B1:F1"/>
    <mergeCell ref="B2:F2"/>
    <mergeCell ref="B3:F3"/>
    <mergeCell ref="B7:F7"/>
    <mergeCell ref="B9:F9"/>
    <mergeCell ref="B15:F15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2026-04-30T21:07:42Z</dcterms:created>
  <dc:creator>openpyxl</dc:creator>
  <dc:description/>
  <dc:language>en-US</dc:language>
  <cp:lastModifiedBy/>
  <dcterms:modified xsi:type="dcterms:W3CDTF">2026-04-30T21:07:57Z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
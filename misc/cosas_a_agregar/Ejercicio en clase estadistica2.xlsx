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fwal\Downloads\"/>
    </mc:Choice>
  </mc:AlternateContent>
  <xr:revisionPtr revIDLastSave="0" documentId="13_ncr:1_{BFC2AC82-1073-4790-A36D-7072B7654E4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C1 Media" sheetId="1" r:id="rId1"/>
    <sheet name="IC2 Media" sheetId="2" r:id="rId2"/>
    <sheet name="IC3 Media" sheetId="3" r:id="rId3"/>
    <sheet name="IC4 Prop." sheetId="4" r:id="rId4"/>
    <sheet name="IC5 Prop." sheetId="5" r:id="rId5"/>
    <sheet name="Ejercicio1" sheetId="6" r:id="rId6"/>
    <sheet name="Ejercicio2" sheetId="7" r:id="rId7"/>
    <sheet name="Ejercicio 3" sheetId="8" r:id="rId8"/>
    <sheet name="Ejercicio 4" sheetId="9" r:id="rId9"/>
    <sheet name="Ejercicio 5" sheetId="10" r:id="rId10"/>
    <sheet name="Ejercicio 6" sheetId="20" r:id="rId11"/>
    <sheet name="Ejercicio 7" sheetId="12" r:id="rId12"/>
    <sheet name="Ejercicio 8" sheetId="13" r:id="rId13"/>
    <sheet name="Ejercicio 9" sheetId="14" r:id="rId14"/>
    <sheet name="Ejercicio 10" sheetId="15" r:id="rId15"/>
    <sheet name="Ejercicio 11" sheetId="16" r:id="rId16"/>
    <sheet name="Ejercicio12" sheetId="18" r:id="rId17"/>
    <sheet name="Ejercicio 13" sheetId="19" r:id="rId18"/>
    <sheet name="Ejercicio 14" sheetId="22" r:id="rId19"/>
    <sheet name="Ejercicio 15" sheetId="23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5" l="1"/>
  <c r="B13" i="5" s="1"/>
  <c r="C16" i="5" s="1"/>
  <c r="B9" i="5"/>
  <c r="B12" i="5" s="1"/>
  <c r="B19" i="4"/>
  <c r="B16" i="4"/>
  <c r="B14" i="4"/>
  <c r="B15" i="1"/>
  <c r="B6" i="5"/>
  <c r="B13" i="4"/>
  <c r="B11" i="4"/>
  <c r="B17" i="3"/>
  <c r="B17" i="1"/>
  <c r="B17" i="2"/>
  <c r="B15" i="3"/>
  <c r="B15" i="2"/>
  <c r="B14" i="2"/>
  <c r="C20" i="1"/>
  <c r="B20" i="1"/>
  <c r="B14" i="1"/>
  <c r="B17" i="12"/>
  <c r="B15" i="12"/>
  <c r="B13" i="19"/>
  <c r="B14" i="23" l="1"/>
  <c r="B15" i="23" s="1"/>
  <c r="B6" i="22"/>
  <c r="B8" i="22"/>
  <c r="B10" i="22" s="1"/>
  <c r="B16" i="6"/>
  <c r="C16" i="6"/>
  <c r="C16" i="20"/>
  <c r="B16" i="20"/>
  <c r="B6" i="20"/>
  <c r="B8" i="20"/>
  <c r="B10" i="20" s="1"/>
  <c r="B9" i="6"/>
  <c r="B10" i="6"/>
  <c r="B11" i="19"/>
  <c r="B14" i="19"/>
  <c r="B14" i="18"/>
  <c r="B17" i="18" s="1"/>
  <c r="B11" i="16"/>
  <c r="B13" i="16"/>
  <c r="B14" i="16" s="1"/>
  <c r="B14" i="15"/>
  <c r="B15" i="15" s="1"/>
  <c r="B17" i="14"/>
  <c r="C20" i="14" s="1"/>
  <c r="B14" i="14"/>
  <c r="B15" i="14" s="1"/>
  <c r="B11" i="13"/>
  <c r="B19" i="13" s="1"/>
  <c r="B13" i="13"/>
  <c r="B14" i="13" s="1"/>
  <c r="B16" i="13" s="1"/>
  <c r="B14" i="12"/>
  <c r="B14" i="10"/>
  <c r="B15" i="10" s="1"/>
  <c r="B11" i="9"/>
  <c r="B13" i="9"/>
  <c r="B14" i="9" s="1"/>
  <c r="B14" i="8"/>
  <c r="B17" i="8" s="1"/>
  <c r="B14" i="7"/>
  <c r="B17" i="7" s="1"/>
  <c r="B8" i="6"/>
  <c r="B6" i="6"/>
  <c r="B8" i="5"/>
  <c r="B14" i="3"/>
  <c r="B17" i="23" l="1"/>
  <c r="B13" i="22"/>
  <c r="B16" i="22" s="1"/>
  <c r="B9" i="22"/>
  <c r="B12" i="22" s="1"/>
  <c r="C16" i="22" s="1"/>
  <c r="B9" i="20"/>
  <c r="B12" i="20" s="1"/>
  <c r="B13" i="20"/>
  <c r="B13" i="6"/>
  <c r="B16" i="19"/>
  <c r="C19" i="19" s="1"/>
  <c r="C20" i="18"/>
  <c r="B20" i="18"/>
  <c r="B15" i="18"/>
  <c r="B16" i="16"/>
  <c r="C19" i="16" s="1"/>
  <c r="B17" i="15"/>
  <c r="B20" i="14"/>
  <c r="C19" i="13"/>
  <c r="B17" i="10"/>
  <c r="B16" i="9"/>
  <c r="C19" i="9"/>
  <c r="B19" i="9"/>
  <c r="C20" i="8"/>
  <c r="B20" i="8"/>
  <c r="B15" i="8"/>
  <c r="C20" i="7"/>
  <c r="B20" i="7"/>
  <c r="B15" i="7"/>
  <c r="B12" i="6"/>
  <c r="C20" i="3"/>
  <c r="B20" i="3"/>
  <c r="C19" i="4"/>
  <c r="C20" i="2"/>
  <c r="B20" i="2"/>
  <c r="B16" i="5"/>
  <c r="C20" i="23" l="1"/>
  <c r="B20" i="23"/>
  <c r="B19" i="19"/>
  <c r="B19" i="16"/>
  <c r="C20" i="15"/>
  <c r="B20" i="15"/>
  <c r="C20" i="12"/>
  <c r="B20" i="12"/>
  <c r="C20" i="10"/>
  <c r="B20" i="10"/>
</calcChain>
</file>

<file path=xl/sharedStrings.xml><?xml version="1.0" encoding="utf-8"?>
<sst xmlns="http://schemas.openxmlformats.org/spreadsheetml/2006/main" count="303" uniqueCount="58">
  <si>
    <t>INTERVALO DE CONFIANZA PARA LA MEDIA (POBLACIONAL), SÍ SE CONOCE LA DESVIACIÓN ESTÁNDAR POBLACIONAL</t>
  </si>
  <si>
    <t>n</t>
  </si>
  <si>
    <t>Media (m)</t>
  </si>
  <si>
    <t>km/hora</t>
  </si>
  <si>
    <t>Desv. Est. (P)</t>
  </si>
  <si>
    <t>Nivel de conf.</t>
  </si>
  <si>
    <t>Nivel de sign.</t>
  </si>
  <si>
    <t>Coef. Z.</t>
  </si>
  <si>
    <t>Valor que deberá restarse y sumarse a la media para determinar el intervalo de confianza</t>
  </si>
  <si>
    <t>LI</t>
  </si>
  <si>
    <t>LS</t>
  </si>
  <si>
    <t>Intervalo de confianza</t>
  </si>
  <si>
    <t>INTERVALO DE CONFIANZA PARA LA MEDIA (POBLACIONAL), SI NO SE CONOCE LA DESVIACIÓN ESTÁNDAR POBLACIONAL</t>
  </si>
  <si>
    <t>mg/litro</t>
  </si>
  <si>
    <t>Desv. Est. (m)</t>
  </si>
  <si>
    <t>Coef. t.</t>
  </si>
  <si>
    <t>INTERVALO DE CONFIANZA PARA LA MEDIA (POBLACIONAL) DE UNA MUESTRA PEQUEÑA (n &lt; 30)</t>
  </si>
  <si>
    <t>Si se conoce (La desviación estandar)</t>
  </si>
  <si>
    <t>Si no se conoce y se debe de estimar</t>
  </si>
  <si>
    <t>INTERVALO DE CONFIANZA PARA LA PROPORCION (POBLACIONAL)</t>
  </si>
  <si>
    <t>Proporción (m)</t>
  </si>
  <si>
    <t>INTERVALO DE CONFIANZA PARA LA VARIANZA (POBLACIONAL) - DISTRIBUCIÓN CHI CUADRADA</t>
  </si>
  <si>
    <t>Varianza (s²)</t>
  </si>
  <si>
    <t>Chi² (α/2)</t>
  </si>
  <si>
    <t>Chi² (1-α/2)</t>
  </si>
  <si>
    <t>Valor del límite inferior (LI) de σ²</t>
  </si>
  <si>
    <t>Valor del límite superior (LS) de σ²</t>
  </si>
  <si>
    <t>¿Qué significa cada parte?</t>
  </si>
  <si>
    <t>Componente</t>
  </si>
  <si>
    <t>Qué representa</t>
  </si>
  <si>
    <t>n-1</t>
  </si>
  <si>
    <t>Grados de libertad — "información libre" de la muestra</t>
  </si>
  <si>
    <t>s²</t>
  </si>
  <si>
    <t>χ²₍α/₂₎</t>
  </si>
  <si>
    <t>Valor crítico cola derecha — divide el área α/2 a la derecha</t>
  </si>
  <si>
    <t>χ²₍₁₋α/₂₎</t>
  </si>
  <si>
    <t>Valor crítico cola izquierda — divide el área α/2 a la izquierda</t>
  </si>
  <si>
    <t>Varianza muestral — tu estimador de σ²</t>
  </si>
  <si>
    <t>hora</t>
  </si>
  <si>
    <t>Se concluye que, con un 95% de confianza, la varianza poblacional se encuentra entre 9.00 ml² y 31.04 ml², lo que representa el rango de variabilidad del proceso de llenado.</t>
  </si>
  <si>
    <t>Se concluye que, con un 90% de confianza, la media poblacional del tiempo de corrección se encuentra entre 3.93 y 5.07 horas, representando el rango esperado del desempeño del proceso.</t>
  </si>
  <si>
    <t>Se concluye que, con un 99% de confianza, la media poblacional de la resistencia se encuentra entre 2351.55 y 2648.45 kg/cm², representando el rango estimado del comportamiento del material.</t>
  </si>
  <si>
    <t>Se concluye que, con un 95% de confianza, la tasa real de efectividad del sistema se encuentra entre 94.19% y 97.81%, lo que refleja un alto nivel de protección frente a accesos no autorizados.</t>
  </si>
  <si>
    <t>Se concluye que, con un 95% de confianza, el costo promedio de envío se encuentra entre Q71.96 y Q78.04, representando el rango esperado de costos operativos en la distribución.</t>
  </si>
  <si>
    <t>Se concluye que, con un 90% de confianza, la varianza del tiempo de soldadura se encuentra entre 0.39 y 1.25 s², lo que refleja el nivel de dispersión del proceso y su impacto en la consistencia de la línea de producción.</t>
  </si>
  <si>
    <t xml:space="preserve"> Se concluye que, con un 95% de confianza, la proporción real de abandono se encuentra entre 29.04% y 34.30%, lo que permite evaluar el rendimiento del embudo de conversión y detectar posibles oportunidades de mejora en la experiencia del usuario.</t>
  </si>
  <si>
    <t>Se concluye que, con un 95% de confianza, la latencia media se encuentra entre 38.90 ms y 45.10 ms, lo que permite evaluar el desempeño y la estabilidad de la conectividad hacia el servicio en la nube.</t>
  </si>
  <si>
    <t>Se concluye que, con un 99% de confianza, el salario promedio se encuentra entre Q4099.20 y Q4300.80, lo que permite evaluar la consistencia de la estructura salarial y su relación con la productividad del personal.</t>
  </si>
  <si>
    <t>Se concluye que, con un 90% de confianza, la proporción de usuarios que prefieren la nueva interfaz se encuentra entre 72.65% y 82.35%, lo que evidencia un alto nivel de aceptación y respalda la implementación del nuevo diseño en la aplicación.</t>
  </si>
  <si>
    <t>Se concluye que, con un 95% de confianza, el tiempo medio de espera se encuentra entre 12.76 y 15.24 días, lo que permite evaluar la confiabilidad del proveedor y su impacto en la planificación de inventarios.</t>
  </si>
  <si>
    <t>Se concluye que, con un 98% de confianza, la proporción de registros erróneos se encuentra entre 3.21% y 6.67%, lo que permite evaluar la integridad de la información y la efectividad del proceso de migración.</t>
  </si>
  <si>
    <t>Se concluye que, con un 95% de confianza, la varianza del uso de CPU se encuentra entre 15.01%² y 69.63%², lo que permite analizar la estabilidad de la carga del servidor y su impacto en el desempeño del sistema.</t>
  </si>
  <si>
    <t>Se concluye que, con un 95% de confianza, el puntaje promedio se encuentra entre 83.39 y 92.61 puntos, lo que permite evaluar el nivel de desempeño y la efectividad del programa de capacitación.</t>
  </si>
  <si>
    <t>Se concluye que, con un 98% de confianza, el tiempo medio de atención se encuentra entre 7.47 y 8.93 minutos, lo que permite evaluar la eficiencia operativa del centro de llamadas y la calidad del servicio brindado.</t>
  </si>
  <si>
    <t xml:space="preserve">CUANDO NO DAN LA MUESTRA POBLACIONAL DAN LA MUESTRAL </t>
  </si>
  <si>
    <t>N</t>
  </si>
  <si>
    <t>S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</si>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</sst>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9"/>
      <color theme="1"/>
      <name val="Calibri"/>
      <family val="2"/>
      <charset val="1"/>
    </font>
    <font>
      <i/>
      <sz val="10"/>
      <color theme="1"/>
      <name val="Calibri"/>
      <family val="2"/>
      <charset val="1"/>
    </font>
    <font>
      <b/>
      <sz val="11"/>
      <name val="Cambria"/>
      <charset val="1"/>
    </font>
    <font>
      <sz val="11"/>
      <name val="Cambria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10" fontId="6" fillId="2" borderId="1" xfId="1" applyNumberFormat="1" applyFill="1" applyBorder="1"/>
    <xf numFmtId="10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/>
    <xf numFmtId="165" fontId="0" fillId="0" borderId="1" xfId="0" applyNumberFormat="1" applyBorder="1"/>
    <xf numFmtId="10" fontId="6" fillId="0" borderId="1" xfId="1" applyNumberForma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0" fillId="0" borderId="0" xfId="0" applyAlignment="1">
      <alignment horizontal="center"/>
    </xf>
    <xf numFmtId="10" fontId="5" fillId="0" borderId="0" xfId="1" applyNumberFormat="1" applyFont="1"/>
    <xf numFmtId="10" fontId="5" fillId="3" borderId="1" xfId="1" applyNumberFormat="1" applyFont="1" applyFill="1" applyBorder="1"/>
    <xf numFmtId="0" fontId="0" fillId="0" borderId="0" xfId="0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575280</xdr:colOff>
      <xdr:row>7</xdr:row>
      <xdr:rowOff>43920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61800"/>
          <a:ext cx="6946920" cy="94896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9</xdr:col>
      <xdr:colOff>292100</xdr:colOff>
      <xdr:row>2</xdr:row>
      <xdr:rowOff>114300</xdr:rowOff>
    </xdr:from>
    <xdr:to>
      <xdr:col>15</xdr:col>
      <xdr:colOff>197448</xdr:colOff>
      <xdr:row>10</xdr:row>
      <xdr:rowOff>60523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0F1FC8-906B-47DC-E5B3-A3A7F707D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7250" y="482600"/>
          <a:ext cx="4286848" cy="1419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575280</xdr:colOff>
      <xdr:row>7</xdr:row>
      <xdr:rowOff>63000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61800"/>
          <a:ext cx="6946920" cy="96804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9</xdr:col>
      <xdr:colOff>463551</xdr:colOff>
      <xdr:row>0</xdr:row>
      <xdr:rowOff>83396</xdr:rowOff>
    </xdr:from>
    <xdr:to>
      <xdr:col>17</xdr:col>
      <xdr:colOff>82551</xdr:colOff>
      <xdr:row>18</xdr:row>
      <xdr:rowOff>165879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811454-AA44-5493-F2C9-741C3E93E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8701" y="83396"/>
          <a:ext cx="5461000" cy="33971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575280</xdr:colOff>
      <xdr:row>7</xdr:row>
      <xdr:rowOff>56880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61800"/>
          <a:ext cx="6946920" cy="9619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oneCell">
    <xdr:from>
      <xdr:col>12</xdr:col>
      <xdr:colOff>31751</xdr:colOff>
      <xdr:row>0</xdr:row>
      <xdr:rowOff>88900</xdr:rowOff>
    </xdr:from>
    <xdr:to>
      <xdr:col>19</xdr:col>
      <xdr:colOff>578181</xdr:colOff>
      <xdr:row>22</xdr:row>
      <xdr:rowOff>12444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7DE721-A28E-9507-07EB-8EB1EB863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7651" y="88900"/>
          <a:ext cx="5658180" cy="39748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575280</xdr:colOff>
      <xdr:row>7</xdr:row>
      <xdr:rowOff>95040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61800"/>
          <a:ext cx="6946920" cy="100008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3</xdr:row>
      <xdr:rowOff>0</xdr:rowOff>
    </xdr:from>
    <xdr:ext cx="3493585" cy="7534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DB8C575-DA04-43FA-9CC0-E0DF569874B8}"/>
                </a:ext>
              </a:extLst>
            </xdr:cNvPr>
            <xdr:cNvSpPr txBox="1"/>
          </xdr:nvSpPr>
          <xdr:spPr>
            <a:xfrm>
              <a:off x="2583180" y="54864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sSup>
                      <m:sSup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f>
                      <m:fPr>
                        <m:ctrlP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𝑋</m:t>
                            </m:r>
                          </m:e>
                          <m:sub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1−</m:t>
                            </m:r>
                            <m: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𝜎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DB8C575-DA04-43FA-9CC0-E0DF569874B8}"/>
                </a:ext>
              </a:extLst>
            </xdr:cNvPr>
            <xdr:cNvSpPr txBox="1"/>
          </xdr:nvSpPr>
          <xdr:spPr>
            <a:xfrm>
              <a:off x="2583180" y="54864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𝑛−1)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_(𝜎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 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)≤𝜎^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𝑛−1)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𝑠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𝑋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1−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/2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^2 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 editAs="oneCell">
    <xdr:from>
      <xdr:col>8</xdr:col>
      <xdr:colOff>243840</xdr:colOff>
      <xdr:row>1</xdr:row>
      <xdr:rowOff>15240</xdr:rowOff>
    </xdr:from>
    <xdr:to>
      <xdr:col>17</xdr:col>
      <xdr:colOff>404801</xdr:colOff>
      <xdr:row>6</xdr:row>
      <xdr:rowOff>72526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DF6D81-5C79-A7E7-27CB-B6A47CF7F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9380" y="198120"/>
          <a:ext cx="6744641" cy="9716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3</xdr:row>
      <xdr:rowOff>0</xdr:rowOff>
    </xdr:from>
    <xdr:ext cx="3493585" cy="7534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9012DF2-517D-46F9-9E38-7B044DB7D644}"/>
                </a:ext>
              </a:extLst>
            </xdr:cNvPr>
            <xdr:cNvSpPr txBox="1"/>
          </xdr:nvSpPr>
          <xdr:spPr>
            <a:xfrm>
              <a:off x="2583180" y="54864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sSup>
                      <m:sSup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f>
                      <m:fPr>
                        <m:ctrlP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𝑋</m:t>
                            </m:r>
                          </m:e>
                          <m:sub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1−</m:t>
                            </m:r>
                            <m: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𝜎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9012DF2-517D-46F9-9E38-7B044DB7D644}"/>
                </a:ext>
              </a:extLst>
            </xdr:cNvPr>
            <xdr:cNvSpPr txBox="1"/>
          </xdr:nvSpPr>
          <xdr:spPr>
            <a:xfrm>
              <a:off x="2583180" y="54864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𝑛−1)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_(𝜎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 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)≤𝜎^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𝑛−1)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𝑠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𝑋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1−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/2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^2 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 editAs="oneCell">
    <xdr:from>
      <xdr:col>8</xdr:col>
      <xdr:colOff>243840</xdr:colOff>
      <xdr:row>1</xdr:row>
      <xdr:rowOff>15240</xdr:rowOff>
    </xdr:from>
    <xdr:to>
      <xdr:col>17</xdr:col>
      <xdr:colOff>404801</xdr:colOff>
      <xdr:row>6</xdr:row>
      <xdr:rowOff>72526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831D4E-48A5-4311-B524-0FA605D7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9380" y="198120"/>
          <a:ext cx="6744641" cy="9716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397859</xdr:colOff>
      <xdr:row>8</xdr:row>
      <xdr:rowOff>119094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DEBF3C-25E0-1FCA-C923-1727CF600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071"/>
          <a:ext cx="7296319" cy="13935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388267</xdr:colOff>
      <xdr:row>6</xdr:row>
      <xdr:rowOff>98567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AA85FA-044E-F695-6424-EF07665B4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573167" cy="10193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435899</xdr:colOff>
      <xdr:row>6</xdr:row>
      <xdr:rowOff>146199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5E642FA-8BDB-E936-74E9-031F396EB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620799" cy="10669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76200</xdr:colOff>
      <xdr:row>6</xdr:row>
      <xdr:rowOff>115902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51BF6C-91B0-78B9-32A8-2EEBC6B5B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261100" cy="103665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3</xdr:row>
      <xdr:rowOff>0</xdr:rowOff>
    </xdr:from>
    <xdr:ext cx="3493585" cy="7534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FAAE6E5-B4BE-4BC8-B8CC-58398C129144}"/>
                </a:ext>
              </a:extLst>
            </xdr:cNvPr>
            <xdr:cNvSpPr txBox="1"/>
          </xdr:nvSpPr>
          <xdr:spPr>
            <a:xfrm>
              <a:off x="2583180" y="54864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sSup>
                      <m:sSup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f>
                      <m:fPr>
                        <m:ctrlP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𝑋</m:t>
                            </m:r>
                          </m:e>
                          <m:sub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1−</m:t>
                            </m:r>
                            <m: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𝜎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FAAE6E5-B4BE-4BC8-B8CC-58398C129144}"/>
                </a:ext>
              </a:extLst>
            </xdr:cNvPr>
            <xdr:cNvSpPr txBox="1"/>
          </xdr:nvSpPr>
          <xdr:spPr>
            <a:xfrm>
              <a:off x="2583180" y="54864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𝑛−1)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_(𝜎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 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)≤𝜎^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𝑛−1)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𝑠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𝑋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1−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/2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^2 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 editAs="oneCell">
    <xdr:from>
      <xdr:col>9</xdr:col>
      <xdr:colOff>0</xdr:colOff>
      <xdr:row>0</xdr:row>
      <xdr:rowOff>0</xdr:rowOff>
    </xdr:from>
    <xdr:to>
      <xdr:col>20</xdr:col>
      <xdr:colOff>698450</xdr:colOff>
      <xdr:row>7</xdr:row>
      <xdr:rowOff>129737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7FE6A0-A71C-BFFD-D68F-82E59FC3C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7060" y="0"/>
          <a:ext cx="8745170" cy="140989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331117</xdr:colOff>
      <xdr:row>6</xdr:row>
      <xdr:rowOff>60462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C8993A-0A8F-12B8-8DDE-434BD628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573167" cy="9812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140920</xdr:colOff>
      <xdr:row>8</xdr:row>
      <xdr:rowOff>82741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F1F786-9448-7BB9-EF2E-0C4313539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8745170" cy="137179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637434</xdr:colOff>
      <xdr:row>8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7B0D6D-7286-0C5B-C84D-1166ABDD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8282834" cy="12890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31750</xdr:rowOff>
    </xdr:from>
    <xdr:to>
      <xdr:col>8</xdr:col>
      <xdr:colOff>445425</xdr:colOff>
      <xdr:row>7</xdr:row>
      <xdr:rowOff>22378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01A288-6FCB-C9C9-CBEF-F68EB368D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900"/>
          <a:ext cx="6630325" cy="109552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121562</xdr:colOff>
      <xdr:row>6</xdr:row>
      <xdr:rowOff>73138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A96788-C8BF-860E-F756-0F4F108D7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00"/>
          <a:ext cx="6535062" cy="80973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146050</xdr:rowOff>
    </xdr:from>
    <xdr:to>
      <xdr:col>8</xdr:col>
      <xdr:colOff>435899</xdr:colOff>
      <xdr:row>7</xdr:row>
      <xdr:rowOff>79520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C87F56-1C9E-F2EB-3372-0A4F8A1B2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200"/>
          <a:ext cx="6620799" cy="10383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407320</xdr:colOff>
      <xdr:row>5</xdr:row>
      <xdr:rowOff>82664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49D76A-62D4-A144-6218-80531306C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592220" cy="8192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3</xdr:row>
      <xdr:rowOff>0</xdr:rowOff>
    </xdr:from>
    <xdr:ext cx="3493585" cy="7534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A713CD4-DCB3-4034-B747-0E981364E36E}"/>
                </a:ext>
              </a:extLst>
            </xdr:cNvPr>
            <xdr:cNvSpPr txBox="1"/>
          </xdr:nvSpPr>
          <xdr:spPr>
            <a:xfrm>
              <a:off x="2583180" y="54864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GT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sSup>
                      <m:sSupPr>
                        <m:ctrlP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G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f>
                      <m:fPr>
                        <m:ctrlP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a:rPr lang="es-GT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𝑠</m:t>
                            </m:r>
                          </m:e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𝑋</m:t>
                            </m:r>
                          </m:e>
                          <m:sub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1−</m:t>
                            </m:r>
                            <m:r>
                              <a:rPr lang="es-GT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𝜎</m:t>
                            </m:r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/2</m:t>
                            </m:r>
                          </m:sub>
                          <m:sup>
                            <m:r>
                              <a:rPr lang="es-E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A713CD4-DCB3-4034-B747-0E981364E36E}"/>
                </a:ext>
              </a:extLst>
            </xdr:cNvPr>
            <xdr:cNvSpPr txBox="1"/>
          </xdr:nvSpPr>
          <xdr:spPr>
            <a:xfrm>
              <a:off x="2583180" y="548640"/>
              <a:ext cx="3493585" cy="75341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4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𝑛−1)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_(𝜎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 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)≤𝜎^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G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𝑛−1)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𝑠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𝑋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1−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/2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s-E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^2 </a:t>
              </a:r>
              <a:r>
                <a:rPr lang="es-GT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GT" sz="20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 editAs="oneCell">
    <xdr:from>
      <xdr:col>8</xdr:col>
      <xdr:colOff>220980</xdr:colOff>
      <xdr:row>1</xdr:row>
      <xdr:rowOff>45720</xdr:rowOff>
    </xdr:from>
    <xdr:to>
      <xdr:col>17</xdr:col>
      <xdr:colOff>58046</xdr:colOff>
      <xdr:row>5</xdr:row>
      <xdr:rowOff>57254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F3DAFF-7F92-0594-1607-B2740062C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6520" y="228600"/>
          <a:ext cx="6420746" cy="74305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693110</xdr:colOff>
      <xdr:row>7</xdr:row>
      <xdr:rowOff>154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B48DF7-F3D1-2FB2-B0EE-67DD74867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878010" cy="1105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98" zoomScaleNormal="120" workbookViewId="0">
      <selection activeCell="B15" sqref="B15"/>
    </sheetView>
  </sheetViews>
  <sheetFormatPr baseColWidth="10" defaultColWidth="10.6640625" defaultRowHeight="14.4" x14ac:dyDescent="0.3"/>
  <cols>
    <col min="1" max="1" width="15.6640625" customWidth="1"/>
  </cols>
  <sheetData>
    <row r="1" spans="1:8" x14ac:dyDescent="0.3">
      <c r="A1" s="1" t="s">
        <v>0</v>
      </c>
    </row>
    <row r="9" spans="1:8" x14ac:dyDescent="0.3">
      <c r="F9" t="s">
        <v>55</v>
      </c>
      <c r="G9">
        <v>100</v>
      </c>
      <c r="H9">
        <v>67</v>
      </c>
    </row>
    <row r="10" spans="1:8" x14ac:dyDescent="0.3">
      <c r="A10" s="2" t="s">
        <v>1</v>
      </c>
      <c r="B10" s="2">
        <v>80</v>
      </c>
      <c r="F10" t="s">
        <v>1</v>
      </c>
      <c r="G10">
        <v>50</v>
      </c>
      <c r="H10">
        <v>70</v>
      </c>
    </row>
    <row r="11" spans="1:8" x14ac:dyDescent="0.3">
      <c r="A11" s="2" t="s">
        <v>2</v>
      </c>
      <c r="B11" s="2">
        <v>58</v>
      </c>
      <c r="C11" t="s">
        <v>3</v>
      </c>
    </row>
    <row r="12" spans="1:8" x14ac:dyDescent="0.3">
      <c r="A12" s="2" t="s">
        <v>4</v>
      </c>
      <c r="B12" s="2">
        <v>6</v>
      </c>
      <c r="C12" t="s">
        <v>3</v>
      </c>
    </row>
    <row r="13" spans="1:8" x14ac:dyDescent="0.3">
      <c r="A13" s="2" t="s">
        <v>5</v>
      </c>
      <c r="B13" s="3">
        <v>0.95</v>
      </c>
    </row>
    <row r="14" spans="1:8" x14ac:dyDescent="0.3">
      <c r="A14" s="2" t="s">
        <v>6</v>
      </c>
      <c r="B14" s="4">
        <f>1-B13</f>
        <v>5.0000000000000044E-2</v>
      </c>
    </row>
    <row r="15" spans="1:8" x14ac:dyDescent="0.3">
      <c r="A15" s="2" t="s">
        <v>7</v>
      </c>
      <c r="B15" s="5">
        <f>_xlfn.NORM.S.INV(B13+B14/2)</f>
        <v>1.9599639845400536</v>
      </c>
    </row>
    <row r="17" spans="2:4" x14ac:dyDescent="0.3">
      <c r="B17" s="6">
        <f>_xlfn.CONFIDENCE.NORM(B14,B12,B10)</f>
        <v>1.3147838108648719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56.685216189135126</v>
      </c>
      <c r="C20" s="9">
        <f>B11+B17</f>
        <v>59.314783810864874</v>
      </c>
      <c r="D20" s="10" t="s">
        <v>11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="94" zoomScaleNormal="120" workbookViewId="0">
      <selection activeCell="B15" sqref="B15"/>
    </sheetView>
  </sheetViews>
  <sheetFormatPr baseColWidth="10" defaultColWidth="10.6640625" defaultRowHeight="14.4" x14ac:dyDescent="0.3"/>
  <cols>
    <col min="1" max="1" width="15.6640625" customWidth="1"/>
  </cols>
  <sheetData>
    <row r="1" spans="1:5" x14ac:dyDescent="0.3">
      <c r="A1" s="1" t="s">
        <v>12</v>
      </c>
    </row>
    <row r="9" spans="1:5" x14ac:dyDescent="0.3">
      <c r="E9" t="s">
        <v>54</v>
      </c>
    </row>
    <row r="10" spans="1:5" x14ac:dyDescent="0.3">
      <c r="A10" s="2" t="s">
        <v>1</v>
      </c>
      <c r="B10" s="2">
        <v>100</v>
      </c>
    </row>
    <row r="11" spans="1:5" x14ac:dyDescent="0.3">
      <c r="A11" s="2" t="s">
        <v>2</v>
      </c>
      <c r="B11" s="2">
        <v>0.65</v>
      </c>
      <c r="C11" t="s">
        <v>13</v>
      </c>
    </row>
    <row r="12" spans="1:5" x14ac:dyDescent="0.3">
      <c r="A12" s="2" t="s">
        <v>14</v>
      </c>
      <c r="B12" s="2">
        <v>0.1</v>
      </c>
      <c r="C12" t="s">
        <v>13</v>
      </c>
      <c r="E12" t="s">
        <v>56</v>
      </c>
    </row>
    <row r="13" spans="1:5" x14ac:dyDescent="0.3">
      <c r="A13" s="2" t="s">
        <v>5</v>
      </c>
      <c r="B13" s="3">
        <v>0.95</v>
      </c>
      <c r="E13" t="s">
        <v>57</v>
      </c>
    </row>
    <row r="14" spans="1:5" x14ac:dyDescent="0.3">
      <c r="A14" s="2" t="s">
        <v>6</v>
      </c>
      <c r="B14" s="4">
        <f>1-B13</f>
        <v>5.0000000000000044E-2</v>
      </c>
    </row>
    <row r="15" spans="1:5" x14ac:dyDescent="0.3">
      <c r="A15" s="2" t="s">
        <v>15</v>
      </c>
      <c r="B15" s="5">
        <f>-_xlfn.T.INV(B14/2,B10-1)</f>
        <v>1.9842169515864165</v>
      </c>
    </row>
    <row r="17" spans="2:4" x14ac:dyDescent="0.3">
      <c r="B17" s="11">
        <f>_xlfn.CONFIDENCE.T(B14,B12,B10)</f>
        <v>1.9842169515864167E-2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0.63015783048413587</v>
      </c>
      <c r="C20" s="9">
        <f>B11+B17</f>
        <v>0.66984216951586417</v>
      </c>
      <c r="D20" s="10" t="s">
        <v>11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zoomScale="120" zoomScaleNormal="120" workbookViewId="0">
      <selection activeCell="C20" sqref="C20"/>
    </sheetView>
  </sheetViews>
  <sheetFormatPr baseColWidth="10" defaultColWidth="10.6640625" defaultRowHeight="14.4" x14ac:dyDescent="0.3"/>
  <cols>
    <col min="1" max="1" width="15.6640625" customWidth="1"/>
  </cols>
  <sheetData>
    <row r="1" spans="1:10" x14ac:dyDescent="0.3">
      <c r="A1" s="1" t="s">
        <v>16</v>
      </c>
    </row>
    <row r="10" spans="1:10" x14ac:dyDescent="0.3">
      <c r="A10" s="2" t="s">
        <v>1</v>
      </c>
      <c r="B10" s="2">
        <v>25</v>
      </c>
      <c r="J10" t="s">
        <v>17</v>
      </c>
    </row>
    <row r="11" spans="1:10" x14ac:dyDescent="0.3">
      <c r="A11" s="2" t="s">
        <v>2</v>
      </c>
      <c r="B11" s="2">
        <v>58</v>
      </c>
      <c r="C11" t="s">
        <v>3</v>
      </c>
    </row>
    <row r="12" spans="1:10" x14ac:dyDescent="0.3">
      <c r="A12" s="2" t="s">
        <v>14</v>
      </c>
      <c r="B12" s="2">
        <v>6</v>
      </c>
      <c r="C12" t="s">
        <v>3</v>
      </c>
    </row>
    <row r="13" spans="1:10" x14ac:dyDescent="0.3">
      <c r="A13" s="2" t="s">
        <v>5</v>
      </c>
      <c r="B13" s="3">
        <v>0.95</v>
      </c>
    </row>
    <row r="14" spans="1:10" x14ac:dyDescent="0.3">
      <c r="A14" s="2" t="s">
        <v>6</v>
      </c>
      <c r="B14" s="4">
        <f>1-B13</f>
        <v>5.0000000000000044E-2</v>
      </c>
      <c r="J14" t="s">
        <v>18</v>
      </c>
    </row>
    <row r="15" spans="1:10" x14ac:dyDescent="0.3">
      <c r="A15" s="2" t="s">
        <v>15</v>
      </c>
      <c r="B15" s="5">
        <f>-_xlfn.T.INV(B14/2,B10-1)</f>
        <v>2.0638985616280254</v>
      </c>
    </row>
    <row r="17" spans="2:4" x14ac:dyDescent="0.3">
      <c r="B17" s="11">
        <f>_xlfn.CONFIDENCE.T(B14,B12,B10)</f>
        <v>2.4766782739536306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55.523321726046369</v>
      </c>
      <c r="C20" s="9">
        <f>B11+B17</f>
        <v>60.476678273953631</v>
      </c>
      <c r="D20" s="10" t="s">
        <v>11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zoomScale="120" zoomScaleNormal="120" workbookViewId="0">
      <selection activeCell="B19" sqref="B19"/>
    </sheetView>
  </sheetViews>
  <sheetFormatPr baseColWidth="10" defaultColWidth="10.6640625" defaultRowHeight="14.4" x14ac:dyDescent="0.3"/>
  <cols>
    <col min="1" max="1" width="15.6640625" customWidth="1"/>
  </cols>
  <sheetData>
    <row r="1" spans="1:3" x14ac:dyDescent="0.3">
      <c r="A1" s="1" t="s">
        <v>19</v>
      </c>
    </row>
    <row r="10" spans="1:3" x14ac:dyDescent="0.3">
      <c r="A10" s="2" t="s">
        <v>1</v>
      </c>
      <c r="B10" s="2">
        <v>100</v>
      </c>
    </row>
    <row r="11" spans="1:3" x14ac:dyDescent="0.3">
      <c r="A11" s="2" t="s">
        <v>20</v>
      </c>
      <c r="B11" s="2">
        <f>10/100</f>
        <v>0.1</v>
      </c>
    </row>
    <row r="12" spans="1:3" x14ac:dyDescent="0.3">
      <c r="A12" s="2" t="s">
        <v>5</v>
      </c>
      <c r="B12" s="3">
        <v>0.95</v>
      </c>
    </row>
    <row r="13" spans="1:3" x14ac:dyDescent="0.3">
      <c r="A13" s="2" t="s">
        <v>6</v>
      </c>
      <c r="B13" s="4">
        <f>1-B12</f>
        <v>5.0000000000000044E-2</v>
      </c>
    </row>
    <row r="14" spans="1:3" x14ac:dyDescent="0.3">
      <c r="A14" s="2" t="s">
        <v>7</v>
      </c>
      <c r="B14" s="5">
        <f>_xlfn.NORM.S.INV(B12+B13/2)</f>
        <v>1.9599639845400536</v>
      </c>
    </row>
    <row r="16" spans="1:3" x14ac:dyDescent="0.3">
      <c r="B16" s="11">
        <f>B14*SQRT(B11*(1-B11)/B10)</f>
        <v>5.8798919536201616E-2</v>
      </c>
      <c r="C16" s="7" t="s">
        <v>8</v>
      </c>
    </row>
    <row r="18" spans="2:4" x14ac:dyDescent="0.3">
      <c r="B18" s="8" t="s">
        <v>9</v>
      </c>
      <c r="C18" s="8" t="s">
        <v>10</v>
      </c>
    </row>
    <row r="19" spans="2:4" x14ac:dyDescent="0.3">
      <c r="B19" s="12">
        <f>B11-B16</f>
        <v>4.120108046379839E-2</v>
      </c>
      <c r="C19" s="12">
        <f>B11+B16</f>
        <v>0.15879891953620162</v>
      </c>
      <c r="D19" s="10" t="s">
        <v>11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zoomScaleNormal="100" workbookViewId="0">
      <selection activeCell="L10" sqref="L10"/>
    </sheetView>
  </sheetViews>
  <sheetFormatPr baseColWidth="10" defaultColWidth="10.6640625" defaultRowHeight="14.4" x14ac:dyDescent="0.3"/>
  <cols>
    <col min="1" max="1" width="16.109375" customWidth="1"/>
  </cols>
  <sheetData>
    <row r="1" spans="1:4" x14ac:dyDescent="0.3">
      <c r="A1" s="13" t="s">
        <v>21</v>
      </c>
      <c r="B1" s="14"/>
      <c r="C1" s="14"/>
      <c r="D1" s="14"/>
    </row>
    <row r="2" spans="1:4" x14ac:dyDescent="0.3">
      <c r="A2" s="14"/>
      <c r="B2" s="14"/>
      <c r="C2" s="14"/>
      <c r="D2" s="14"/>
    </row>
    <row r="3" spans="1:4" x14ac:dyDescent="0.3">
      <c r="A3" s="14"/>
      <c r="B3" s="14"/>
      <c r="C3" s="14"/>
      <c r="D3" s="14"/>
    </row>
    <row r="4" spans="1:4" x14ac:dyDescent="0.3">
      <c r="A4" s="15" t="s">
        <v>1</v>
      </c>
      <c r="B4" s="16">
        <v>22</v>
      </c>
      <c r="C4" s="14"/>
      <c r="D4" s="14"/>
    </row>
    <row r="5" spans="1:4" x14ac:dyDescent="0.3">
      <c r="A5" s="15" t="s">
        <v>14</v>
      </c>
      <c r="B5" s="15"/>
      <c r="C5" s="14"/>
      <c r="D5" s="14"/>
    </row>
    <row r="6" spans="1:4" x14ac:dyDescent="0.3">
      <c r="A6" s="15" t="s">
        <v>22</v>
      </c>
      <c r="B6" s="15">
        <f>15.2</f>
        <v>15.2</v>
      </c>
      <c r="C6" s="14"/>
      <c r="D6" s="14"/>
    </row>
    <row r="7" spans="1:4" x14ac:dyDescent="0.3">
      <c r="A7" s="15" t="s">
        <v>5</v>
      </c>
      <c r="B7" s="19">
        <v>0.95</v>
      </c>
      <c r="C7" s="18"/>
      <c r="D7" s="14"/>
    </row>
    <row r="8" spans="1:4" x14ac:dyDescent="0.3">
      <c r="A8" s="2" t="s">
        <v>6</v>
      </c>
      <c r="B8" s="4">
        <f>1-B7</f>
        <v>5.0000000000000044E-2</v>
      </c>
    </row>
    <row r="9" spans="1:4" x14ac:dyDescent="0.3">
      <c r="A9" s="2" t="s">
        <v>23</v>
      </c>
      <c r="B9" s="6">
        <f>_xlfn.CHISQ.INV.RT(B8/2,B4-1)</f>
        <v>35.478875905727257</v>
      </c>
    </row>
    <row r="10" spans="1:4" x14ac:dyDescent="0.3">
      <c r="A10" s="2" t="s">
        <v>24</v>
      </c>
      <c r="B10" s="6">
        <f>_xlfn.CHISQ.INV.RT(1-B8/2,B4-1)</f>
        <v>10.282897782522859</v>
      </c>
    </row>
    <row r="12" spans="1:4" x14ac:dyDescent="0.3">
      <c r="B12">
        <f>(B4-1)*B6/B9</f>
        <v>8.9969028570173055</v>
      </c>
      <c r="C12" t="s">
        <v>25</v>
      </c>
    </row>
    <row r="13" spans="1:4" x14ac:dyDescent="0.3">
      <c r="B13">
        <f>(B4-1)*B6/B10</f>
        <v>31.041833416113743</v>
      </c>
      <c r="C13" t="s">
        <v>26</v>
      </c>
    </row>
    <row r="15" spans="1:4" x14ac:dyDescent="0.3">
      <c r="B15" s="17" t="s">
        <v>9</v>
      </c>
      <c r="C15" s="17" t="s">
        <v>10</v>
      </c>
    </row>
    <row r="16" spans="1:4" x14ac:dyDescent="0.3">
      <c r="B16" s="17">
        <f>B12</f>
        <v>8.9969028570173055</v>
      </c>
      <c r="C16" s="17">
        <f>B13</f>
        <v>31.041833416113743</v>
      </c>
      <c r="D16" t="s">
        <v>11</v>
      </c>
    </row>
    <row r="18" spans="8:9" x14ac:dyDescent="0.3">
      <c r="H18" t="s">
        <v>27</v>
      </c>
    </row>
    <row r="20" spans="8:9" x14ac:dyDescent="0.3">
      <c r="H20" t="s">
        <v>28</v>
      </c>
      <c r="I20" t="s">
        <v>29</v>
      </c>
    </row>
    <row r="21" spans="8:9" x14ac:dyDescent="0.3">
      <c r="H21" t="s">
        <v>30</v>
      </c>
      <c r="I21" t="s">
        <v>31</v>
      </c>
    </row>
    <row r="22" spans="8:9" x14ac:dyDescent="0.3">
      <c r="H22" t="s">
        <v>32</v>
      </c>
      <c r="I22" t="s">
        <v>37</v>
      </c>
    </row>
    <row r="23" spans="8:9" x14ac:dyDescent="0.3">
      <c r="H23" t="s">
        <v>33</v>
      </c>
      <c r="I23" t="s">
        <v>34</v>
      </c>
    </row>
    <row r="24" spans="8:9" x14ac:dyDescent="0.3">
      <c r="H24" t="s">
        <v>35</v>
      </c>
      <c r="I24" t="s">
        <v>36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1E60-D1DA-463E-98A6-C0EFD0F8F51B}">
  <dimension ref="A1:M24"/>
  <sheetViews>
    <sheetView zoomScaleNormal="100" workbookViewId="0">
      <selection activeCell="L15" sqref="L15"/>
    </sheetView>
  </sheetViews>
  <sheetFormatPr baseColWidth="10" defaultColWidth="10.6640625" defaultRowHeight="14.4" x14ac:dyDescent="0.3"/>
  <cols>
    <col min="1" max="1" width="16.109375" customWidth="1"/>
  </cols>
  <sheetData>
    <row r="1" spans="1:13" x14ac:dyDescent="0.3">
      <c r="A1" s="13" t="s">
        <v>21</v>
      </c>
      <c r="B1" s="14"/>
      <c r="C1" s="14"/>
      <c r="D1" s="14"/>
    </row>
    <row r="2" spans="1:13" x14ac:dyDescent="0.3">
      <c r="A2" s="14"/>
      <c r="B2" s="14"/>
      <c r="C2" s="14"/>
      <c r="D2" s="14"/>
    </row>
    <row r="3" spans="1:13" x14ac:dyDescent="0.3">
      <c r="A3" s="14"/>
      <c r="B3" s="14"/>
      <c r="C3" s="14"/>
      <c r="D3" s="14"/>
    </row>
    <row r="4" spans="1:13" x14ac:dyDescent="0.3">
      <c r="A4" s="15" t="s">
        <v>1</v>
      </c>
      <c r="B4" s="16">
        <v>22</v>
      </c>
      <c r="C4" s="14"/>
      <c r="D4" s="14"/>
    </row>
    <row r="5" spans="1:13" x14ac:dyDescent="0.3">
      <c r="A5" s="15" t="s">
        <v>14</v>
      </c>
      <c r="B5" s="15"/>
      <c r="C5" s="14"/>
      <c r="D5" s="14"/>
    </row>
    <row r="6" spans="1:13" x14ac:dyDescent="0.3">
      <c r="A6" s="15" t="s">
        <v>22</v>
      </c>
      <c r="B6" s="15">
        <f>15.2</f>
        <v>15.2</v>
      </c>
      <c r="C6" s="14"/>
      <c r="D6" s="14"/>
    </row>
    <row r="7" spans="1:13" x14ac:dyDescent="0.3">
      <c r="A7" s="15" t="s">
        <v>5</v>
      </c>
      <c r="B7" s="19">
        <v>0.95</v>
      </c>
      <c r="C7" s="18"/>
      <c r="D7" s="14"/>
    </row>
    <row r="8" spans="1:13" x14ac:dyDescent="0.3">
      <c r="A8" s="2" t="s">
        <v>6</v>
      </c>
      <c r="B8" s="4">
        <f>1-B7</f>
        <v>5.0000000000000044E-2</v>
      </c>
    </row>
    <row r="9" spans="1:13" x14ac:dyDescent="0.3">
      <c r="A9" s="2" t="s">
        <v>23</v>
      </c>
      <c r="B9" s="6">
        <f>_xlfn.CHISQ.INV(B8/2,B4-1)</f>
        <v>10.282897782522863</v>
      </c>
      <c r="I9" s="20" t="s">
        <v>39</v>
      </c>
      <c r="J9" s="20"/>
      <c r="K9" s="20"/>
      <c r="L9" s="20"/>
      <c r="M9" s="20"/>
    </row>
    <row r="10" spans="1:13" x14ac:dyDescent="0.3">
      <c r="A10" s="2" t="s">
        <v>24</v>
      </c>
      <c r="B10" s="6">
        <f>_xlfn.CHISQ.INV(1-B8/2,B4-1)</f>
        <v>35.478875905727257</v>
      </c>
      <c r="I10" s="20"/>
      <c r="J10" s="20"/>
      <c r="K10" s="20"/>
      <c r="L10" s="20"/>
      <c r="M10" s="20"/>
    </row>
    <row r="11" spans="1:13" x14ac:dyDescent="0.3">
      <c r="I11" s="20"/>
      <c r="J11" s="20"/>
      <c r="K11" s="20"/>
      <c r="L11" s="20"/>
      <c r="M11" s="20"/>
    </row>
    <row r="12" spans="1:13" x14ac:dyDescent="0.3">
      <c r="B12">
        <f>(B4-1)*B6/B9</f>
        <v>31.041833416113732</v>
      </c>
      <c r="C12" t="s">
        <v>26</v>
      </c>
      <c r="I12" s="20"/>
      <c r="J12" s="20"/>
      <c r="K12" s="20"/>
      <c r="L12" s="20"/>
      <c r="M12" s="20"/>
    </row>
    <row r="13" spans="1:13" x14ac:dyDescent="0.3">
      <c r="B13">
        <f>(B4-1)*B6/B10</f>
        <v>8.9969028570173055</v>
      </c>
      <c r="C13" t="s">
        <v>25</v>
      </c>
    </row>
    <row r="15" spans="1:13" x14ac:dyDescent="0.3">
      <c r="B15" s="17" t="s">
        <v>9</v>
      </c>
      <c r="C15" s="17" t="s">
        <v>10</v>
      </c>
    </row>
    <row r="16" spans="1:13" x14ac:dyDescent="0.3">
      <c r="B16" s="17">
        <f>B13</f>
        <v>8.9969028570173055</v>
      </c>
      <c r="C16" s="17">
        <f>B12</f>
        <v>31.041833416113732</v>
      </c>
      <c r="D16" t="s">
        <v>11</v>
      </c>
    </row>
    <row r="18" spans="8:9" x14ac:dyDescent="0.3">
      <c r="H18" t="s">
        <v>27</v>
      </c>
    </row>
    <row r="20" spans="8:9" x14ac:dyDescent="0.3">
      <c r="H20" t="s">
        <v>28</v>
      </c>
      <c r="I20" t="s">
        <v>29</v>
      </c>
    </row>
    <row r="21" spans="8:9" x14ac:dyDescent="0.3">
      <c r="H21" t="s">
        <v>30</v>
      </c>
      <c r="I21" t="s">
        <v>31</v>
      </c>
    </row>
    <row r="22" spans="8:9" x14ac:dyDescent="0.3">
      <c r="H22" t="s">
        <v>32</v>
      </c>
      <c r="I22" t="s">
        <v>37</v>
      </c>
    </row>
    <row r="23" spans="8:9" x14ac:dyDescent="0.3">
      <c r="H23" t="s">
        <v>33</v>
      </c>
      <c r="I23" t="s">
        <v>34</v>
      </c>
    </row>
    <row r="24" spans="8:9" x14ac:dyDescent="0.3">
      <c r="H24" t="s">
        <v>35</v>
      </c>
      <c r="I24" t="s">
        <v>36</v>
      </c>
    </row>
  </sheetData>
  <mergeCells count="1">
    <mergeCell ref="I9:M12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5238-CE3B-4675-B8F8-DF26168B57D5}">
  <dimension ref="A1:M20"/>
  <sheetViews>
    <sheetView zoomScale="113" zoomScaleNormal="120" workbookViewId="0">
      <selection activeCell="L19" sqref="L19"/>
    </sheetView>
  </sheetViews>
  <sheetFormatPr baseColWidth="10" defaultColWidth="10.6640625" defaultRowHeight="14.4" x14ac:dyDescent="0.3"/>
  <cols>
    <col min="1" max="1" width="15.6640625" customWidth="1"/>
  </cols>
  <sheetData>
    <row r="1" spans="1:13" x14ac:dyDescent="0.3">
      <c r="A1" s="1" t="s">
        <v>0</v>
      </c>
    </row>
    <row r="10" spans="1:13" x14ac:dyDescent="0.3">
      <c r="A10" s="2" t="s">
        <v>1</v>
      </c>
      <c r="B10" s="2">
        <v>12</v>
      </c>
    </row>
    <row r="11" spans="1:13" x14ac:dyDescent="0.3">
      <c r="A11" s="2" t="s">
        <v>2</v>
      </c>
      <c r="B11" s="2">
        <v>4.5</v>
      </c>
      <c r="C11" t="s">
        <v>38</v>
      </c>
      <c r="H11" s="20" t="s">
        <v>40</v>
      </c>
      <c r="I11" s="20"/>
      <c r="J11" s="20"/>
      <c r="K11" s="20"/>
      <c r="L11" s="20"/>
      <c r="M11" s="20"/>
    </row>
    <row r="12" spans="1:13" x14ac:dyDescent="0.3">
      <c r="A12" s="2" t="s">
        <v>4</v>
      </c>
      <c r="B12" s="2">
        <v>1.2</v>
      </c>
      <c r="C12" t="s">
        <v>38</v>
      </c>
      <c r="H12" s="20"/>
      <c r="I12" s="20"/>
      <c r="J12" s="20"/>
      <c r="K12" s="20"/>
      <c r="L12" s="20"/>
      <c r="M12" s="20"/>
    </row>
    <row r="13" spans="1:13" x14ac:dyDescent="0.3">
      <c r="A13" s="2" t="s">
        <v>5</v>
      </c>
      <c r="B13" s="3">
        <v>0.9</v>
      </c>
      <c r="H13" s="20"/>
      <c r="I13" s="20"/>
      <c r="J13" s="20"/>
      <c r="K13" s="20"/>
      <c r="L13" s="20"/>
      <c r="M13" s="20"/>
    </row>
    <row r="14" spans="1:13" x14ac:dyDescent="0.3">
      <c r="A14" s="2" t="s">
        <v>6</v>
      </c>
      <c r="B14" s="4">
        <f>1-B13</f>
        <v>9.9999999999999978E-2</v>
      </c>
      <c r="H14" s="20"/>
      <c r="I14" s="20"/>
      <c r="J14" s="20"/>
      <c r="K14" s="20"/>
      <c r="L14" s="20"/>
      <c r="M14" s="20"/>
    </row>
    <row r="15" spans="1:13" x14ac:dyDescent="0.3">
      <c r="A15" s="2" t="s">
        <v>7</v>
      </c>
      <c r="B15" s="5">
        <f>_xlfn.NORM.S.INV(B13+B14/2)</f>
        <v>1.6448536269514715</v>
      </c>
    </row>
    <row r="17" spans="2:4" x14ac:dyDescent="0.3">
      <c r="B17" s="6">
        <f>_xlfn.CONFIDENCE.NORM(B14,B12,B10)</f>
        <v>0.56979401057877865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3.9302059894212213</v>
      </c>
      <c r="C20" s="9">
        <f>B11+B17</f>
        <v>5.0697940105787787</v>
      </c>
      <c r="D20" s="10" t="s">
        <v>11</v>
      </c>
    </row>
  </sheetData>
  <mergeCells count="1">
    <mergeCell ref="H11:M1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EAA3-73EA-499A-B9DA-A9C079D49710}">
  <dimension ref="A1:I20"/>
  <sheetViews>
    <sheetView zoomScale="120" zoomScaleNormal="120" workbookViewId="0">
      <selection activeCell="K12" sqref="K12"/>
    </sheetView>
  </sheetViews>
  <sheetFormatPr baseColWidth="10" defaultColWidth="10.6640625" defaultRowHeight="14.4" x14ac:dyDescent="0.3"/>
  <cols>
    <col min="1" max="1" width="15.6640625" customWidth="1"/>
  </cols>
  <sheetData>
    <row r="1" spans="1:9" x14ac:dyDescent="0.3">
      <c r="A1" s="1" t="s">
        <v>16</v>
      </c>
    </row>
    <row r="9" spans="1:9" x14ac:dyDescent="0.3">
      <c r="E9" s="20" t="s">
        <v>41</v>
      </c>
      <c r="F9" s="20"/>
      <c r="G9" s="20"/>
      <c r="H9" s="20"/>
      <c r="I9" s="20"/>
    </row>
    <row r="10" spans="1:9" x14ac:dyDescent="0.3">
      <c r="A10" s="2" t="s">
        <v>1</v>
      </c>
      <c r="B10" s="2">
        <v>8</v>
      </c>
      <c r="E10" s="20"/>
      <c r="F10" s="20"/>
      <c r="G10" s="20"/>
      <c r="H10" s="20"/>
      <c r="I10" s="20"/>
    </row>
    <row r="11" spans="1:9" x14ac:dyDescent="0.3">
      <c r="A11" s="2" t="s">
        <v>2</v>
      </c>
      <c r="B11" s="2">
        <v>2500</v>
      </c>
      <c r="E11" s="20"/>
      <c r="F11" s="20"/>
      <c r="G11" s="20"/>
      <c r="H11" s="20"/>
      <c r="I11" s="20"/>
    </row>
    <row r="12" spans="1:9" x14ac:dyDescent="0.3">
      <c r="A12" s="2" t="s">
        <v>14</v>
      </c>
      <c r="B12" s="2">
        <v>120</v>
      </c>
      <c r="E12" s="20"/>
      <c r="F12" s="20"/>
      <c r="G12" s="20"/>
      <c r="H12" s="20"/>
      <c r="I12" s="20"/>
    </row>
    <row r="13" spans="1:9" x14ac:dyDescent="0.3">
      <c r="A13" s="2" t="s">
        <v>5</v>
      </c>
      <c r="B13" s="3">
        <v>0.99</v>
      </c>
      <c r="E13" s="20"/>
      <c r="F13" s="20"/>
      <c r="G13" s="20"/>
      <c r="H13" s="20"/>
      <c r="I13" s="20"/>
    </row>
    <row r="14" spans="1:9" x14ac:dyDescent="0.3">
      <c r="A14" s="2" t="s">
        <v>6</v>
      </c>
      <c r="B14" s="4">
        <f>1-B13</f>
        <v>1.0000000000000009E-2</v>
      </c>
      <c r="E14" s="20"/>
      <c r="F14" s="20"/>
      <c r="G14" s="20"/>
      <c r="H14" s="20"/>
      <c r="I14" s="20"/>
    </row>
    <row r="15" spans="1:9" x14ac:dyDescent="0.3">
      <c r="A15" s="2" t="s">
        <v>15</v>
      </c>
      <c r="B15" s="5">
        <f>-_xlfn.T.INV(B14/2,B10-1)</f>
        <v>3.4994832973504928</v>
      </c>
    </row>
    <row r="17" spans="2:4" x14ac:dyDescent="0.3">
      <c r="B17" s="11">
        <f>_xlfn.CONFIDENCE.T(B14,B12,B10)</f>
        <v>148.47050221233553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2351.5294977876647</v>
      </c>
      <c r="C20" s="9">
        <f>B11+B17</f>
        <v>2648.4705022123353</v>
      </c>
      <c r="D20" s="10" t="s">
        <v>11</v>
      </c>
    </row>
  </sheetData>
  <mergeCells count="1">
    <mergeCell ref="E9:I1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FC46-4117-4F37-B0A7-AAE60B4B9423}">
  <dimension ref="A1:J19"/>
  <sheetViews>
    <sheetView zoomScale="120" zoomScaleNormal="120" workbookViewId="0">
      <selection activeCell="L18" sqref="L18"/>
    </sheetView>
  </sheetViews>
  <sheetFormatPr baseColWidth="10" defaultColWidth="10.6640625" defaultRowHeight="14.4" x14ac:dyDescent="0.3"/>
  <cols>
    <col min="1" max="1" width="15.6640625" customWidth="1"/>
  </cols>
  <sheetData>
    <row r="1" spans="1:10" x14ac:dyDescent="0.3">
      <c r="A1" s="1" t="s">
        <v>19</v>
      </c>
    </row>
    <row r="9" spans="1:10" x14ac:dyDescent="0.3">
      <c r="E9" s="20" t="s">
        <v>42</v>
      </c>
      <c r="F9" s="20"/>
      <c r="G9" s="20"/>
      <c r="H9" s="20"/>
      <c r="I9" s="20"/>
      <c r="J9" s="20"/>
    </row>
    <row r="10" spans="1:10" x14ac:dyDescent="0.3">
      <c r="A10" s="2" t="s">
        <v>1</v>
      </c>
      <c r="B10" s="2">
        <v>450</v>
      </c>
      <c r="E10" s="20"/>
      <c r="F10" s="20"/>
      <c r="G10" s="20"/>
      <c r="H10" s="20"/>
      <c r="I10" s="20"/>
      <c r="J10" s="20"/>
    </row>
    <row r="11" spans="1:10" x14ac:dyDescent="0.3">
      <c r="A11" s="2" t="s">
        <v>20</v>
      </c>
      <c r="B11" s="2">
        <f>432/B10</f>
        <v>0.96</v>
      </c>
      <c r="E11" s="20"/>
      <c r="F11" s="20"/>
      <c r="G11" s="20"/>
      <c r="H11" s="20"/>
      <c r="I11" s="20"/>
      <c r="J11" s="20"/>
    </row>
    <row r="12" spans="1:10" x14ac:dyDescent="0.3">
      <c r="A12" s="2" t="s">
        <v>5</v>
      </c>
      <c r="B12" s="3">
        <v>0.95</v>
      </c>
      <c r="E12" s="20"/>
      <c r="F12" s="20"/>
      <c r="G12" s="20"/>
      <c r="H12" s="20"/>
      <c r="I12" s="20"/>
      <c r="J12" s="20"/>
    </row>
    <row r="13" spans="1:10" x14ac:dyDescent="0.3">
      <c r="A13" s="2" t="s">
        <v>6</v>
      </c>
      <c r="B13" s="4">
        <f>1-B12</f>
        <v>5.0000000000000044E-2</v>
      </c>
    </row>
    <row r="14" spans="1:10" x14ac:dyDescent="0.3">
      <c r="A14" s="2" t="s">
        <v>7</v>
      </c>
      <c r="B14" s="5">
        <f>_xlfn.NORM.S.INV(B12+B13/2)</f>
        <v>1.9599639845400536</v>
      </c>
    </row>
    <row r="16" spans="1:10" x14ac:dyDescent="0.3">
      <c r="B16" s="11">
        <f>B14*SQRT(B11*(1-B11)/B10)</f>
        <v>1.810537174521875E-2</v>
      </c>
      <c r="C16" s="7" t="s">
        <v>8</v>
      </c>
    </row>
    <row r="18" spans="2:4" x14ac:dyDescent="0.3">
      <c r="B18" s="8" t="s">
        <v>9</v>
      </c>
      <c r="C18" s="8" t="s">
        <v>10</v>
      </c>
    </row>
    <row r="19" spans="2:4" x14ac:dyDescent="0.3">
      <c r="B19" s="12">
        <f>B11-B16</f>
        <v>0.94189462825478121</v>
      </c>
      <c r="C19" s="12">
        <f>B11+B16</f>
        <v>0.97810537174521872</v>
      </c>
      <c r="D19" s="10" t="s">
        <v>11</v>
      </c>
    </row>
  </sheetData>
  <mergeCells count="1">
    <mergeCell ref="E9:J12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75E6-DA0D-42E9-A8DF-5E13C02B50FF}">
  <dimension ref="A1:I20"/>
  <sheetViews>
    <sheetView zoomScale="120" zoomScaleNormal="120" workbookViewId="0">
      <selection activeCell="I21" sqref="I21"/>
    </sheetView>
  </sheetViews>
  <sheetFormatPr baseColWidth="10" defaultColWidth="10.6640625" defaultRowHeight="14.4" x14ac:dyDescent="0.3"/>
  <cols>
    <col min="1" max="1" width="15.6640625" customWidth="1"/>
  </cols>
  <sheetData>
    <row r="1" spans="1:9" x14ac:dyDescent="0.3">
      <c r="A1" s="1" t="s">
        <v>0</v>
      </c>
    </row>
    <row r="8" spans="1:9" x14ac:dyDescent="0.3">
      <c r="E8" s="20" t="s">
        <v>43</v>
      </c>
      <c r="F8" s="20"/>
      <c r="G8" s="20"/>
      <c r="H8" s="20"/>
      <c r="I8" s="20"/>
    </row>
    <row r="9" spans="1:9" x14ac:dyDescent="0.3">
      <c r="E9" s="20"/>
      <c r="F9" s="20"/>
      <c r="G9" s="20"/>
      <c r="H9" s="20"/>
      <c r="I9" s="20"/>
    </row>
    <row r="10" spans="1:9" x14ac:dyDescent="0.3">
      <c r="A10" s="2" t="s">
        <v>1</v>
      </c>
      <c r="B10" s="2">
        <v>60</v>
      </c>
      <c r="E10" s="20"/>
      <c r="F10" s="20"/>
      <c r="G10" s="20"/>
      <c r="H10" s="20"/>
      <c r="I10" s="20"/>
    </row>
    <row r="11" spans="1:9" x14ac:dyDescent="0.3">
      <c r="A11" s="2" t="s">
        <v>2</v>
      </c>
      <c r="B11" s="2">
        <v>75</v>
      </c>
      <c r="E11" s="20"/>
      <c r="F11" s="20"/>
      <c r="G11" s="20"/>
      <c r="H11" s="20"/>
      <c r="I11" s="20"/>
    </row>
    <row r="12" spans="1:9" x14ac:dyDescent="0.3">
      <c r="A12" s="2" t="s">
        <v>4</v>
      </c>
      <c r="B12" s="2">
        <v>12</v>
      </c>
    </row>
    <row r="13" spans="1:9" x14ac:dyDescent="0.3">
      <c r="A13" s="2" t="s">
        <v>5</v>
      </c>
      <c r="B13" s="3">
        <v>0.95</v>
      </c>
    </row>
    <row r="14" spans="1:9" x14ac:dyDescent="0.3">
      <c r="A14" s="2" t="s">
        <v>6</v>
      </c>
      <c r="B14" s="4">
        <f>1-B13</f>
        <v>5.0000000000000044E-2</v>
      </c>
    </row>
    <row r="15" spans="1:9" x14ac:dyDescent="0.3">
      <c r="A15" s="2" t="s">
        <v>7</v>
      </c>
      <c r="B15" s="5">
        <f>_xlfn.NORM.S.INV(B13+B14/2)</f>
        <v>1.9599639845400536</v>
      </c>
    </row>
    <row r="17" spans="2:4" x14ac:dyDescent="0.3">
      <c r="B17" s="6">
        <f>_xlfn.CONFIDENCE.NORM(B14,B12,B10)</f>
        <v>3.0363631485159837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71.963636851484011</v>
      </c>
      <c r="C20" s="9">
        <f>B11+B17</f>
        <v>78.036363148515989</v>
      </c>
      <c r="D20" s="10" t="s">
        <v>11</v>
      </c>
    </row>
  </sheetData>
  <mergeCells count="1">
    <mergeCell ref="E8:I11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F94E-5BEA-4909-B579-245460EE5814}">
  <dimension ref="A1:M24"/>
  <sheetViews>
    <sheetView zoomScaleNormal="100" workbookViewId="0">
      <selection activeCell="G15" sqref="G15"/>
    </sheetView>
  </sheetViews>
  <sheetFormatPr baseColWidth="10" defaultColWidth="10.6640625" defaultRowHeight="14.4" x14ac:dyDescent="0.3"/>
  <cols>
    <col min="1" max="1" width="16.109375" customWidth="1"/>
  </cols>
  <sheetData>
    <row r="1" spans="1:13" x14ac:dyDescent="0.3">
      <c r="A1" s="13" t="s">
        <v>21</v>
      </c>
      <c r="B1" s="14"/>
      <c r="C1" s="14"/>
      <c r="D1" s="14"/>
    </row>
    <row r="2" spans="1:13" x14ac:dyDescent="0.3">
      <c r="A2" s="14"/>
      <c r="B2" s="14"/>
      <c r="C2" s="14"/>
      <c r="D2" s="14"/>
    </row>
    <row r="3" spans="1:13" x14ac:dyDescent="0.3">
      <c r="A3" s="14"/>
      <c r="B3" s="14"/>
      <c r="C3" s="14"/>
      <c r="D3" s="14"/>
    </row>
    <row r="4" spans="1:13" x14ac:dyDescent="0.3">
      <c r="A4" s="15" t="s">
        <v>1</v>
      </c>
      <c r="B4" s="16">
        <v>18</v>
      </c>
      <c r="C4" s="14"/>
      <c r="D4" s="14"/>
    </row>
    <row r="5" spans="1:13" x14ac:dyDescent="0.3">
      <c r="A5" s="15" t="s">
        <v>14</v>
      </c>
      <c r="B5" s="15">
        <v>0.8</v>
      </c>
      <c r="C5" s="14"/>
      <c r="D5" s="14"/>
    </row>
    <row r="6" spans="1:13" x14ac:dyDescent="0.3">
      <c r="A6" s="15" t="s">
        <v>22</v>
      </c>
      <c r="B6" s="15">
        <f>B5^2</f>
        <v>0.64000000000000012</v>
      </c>
      <c r="C6" s="14"/>
      <c r="D6" s="14"/>
    </row>
    <row r="7" spans="1:13" x14ac:dyDescent="0.3">
      <c r="A7" s="15" t="s">
        <v>5</v>
      </c>
      <c r="B7" s="19">
        <v>0.9</v>
      </c>
      <c r="C7" s="18"/>
      <c r="D7" s="14"/>
    </row>
    <row r="8" spans="1:13" x14ac:dyDescent="0.3">
      <c r="A8" s="2" t="s">
        <v>6</v>
      </c>
      <c r="B8" s="4">
        <f>1-B7</f>
        <v>9.9999999999999978E-2</v>
      </c>
    </row>
    <row r="9" spans="1:13" x14ac:dyDescent="0.3">
      <c r="A9" s="2" t="s">
        <v>23</v>
      </c>
      <c r="B9" s="6">
        <f>_xlfn.CHISQ.INV(B8/2,B4-1)</f>
        <v>8.671760204670079</v>
      </c>
    </row>
    <row r="10" spans="1:13" x14ac:dyDescent="0.3">
      <c r="A10" s="2" t="s">
        <v>24</v>
      </c>
      <c r="B10" s="6">
        <f>_xlfn.CHISQ.INV(1-B8/2,B4-1)</f>
        <v>27.587111638275317</v>
      </c>
      <c r="H10" s="20" t="s">
        <v>44</v>
      </c>
      <c r="I10" s="20"/>
      <c r="J10" s="20"/>
      <c r="K10" s="20"/>
      <c r="L10" s="20"/>
      <c r="M10" s="20"/>
    </row>
    <row r="11" spans="1:13" x14ac:dyDescent="0.3">
      <c r="H11" s="20"/>
      <c r="I11" s="20"/>
      <c r="J11" s="20"/>
      <c r="K11" s="20"/>
      <c r="L11" s="20"/>
      <c r="M11" s="20"/>
    </row>
    <row r="12" spans="1:13" x14ac:dyDescent="0.3">
      <c r="B12">
        <f>(B4-1)*B6/B9</f>
        <v>1.2546472392237853</v>
      </c>
      <c r="C12" t="s">
        <v>25</v>
      </c>
      <c r="H12" s="20"/>
      <c r="I12" s="20"/>
      <c r="J12" s="20"/>
      <c r="K12" s="20"/>
      <c r="L12" s="20"/>
      <c r="M12" s="20"/>
    </row>
    <row r="13" spans="1:13" x14ac:dyDescent="0.3">
      <c r="B13">
        <f>(B4-1)*B6/B10</f>
        <v>0.39438706533179474</v>
      </c>
      <c r="C13" t="s">
        <v>26</v>
      </c>
      <c r="H13" s="20"/>
      <c r="I13" s="20"/>
      <c r="J13" s="20"/>
      <c r="K13" s="20"/>
      <c r="L13" s="20"/>
      <c r="M13" s="20"/>
    </row>
    <row r="14" spans="1:13" x14ac:dyDescent="0.3">
      <c r="H14" s="20"/>
      <c r="I14" s="20"/>
      <c r="J14" s="20"/>
      <c r="K14" s="20"/>
      <c r="L14" s="20"/>
      <c r="M14" s="20"/>
    </row>
    <row r="15" spans="1:13" x14ac:dyDescent="0.3">
      <c r="B15" s="17" t="s">
        <v>9</v>
      </c>
      <c r="C15" s="17" t="s">
        <v>10</v>
      </c>
    </row>
    <row r="16" spans="1:13" x14ac:dyDescent="0.3">
      <c r="B16" s="17">
        <f>B13</f>
        <v>0.39438706533179474</v>
      </c>
      <c r="C16" s="17">
        <f>B12</f>
        <v>1.2546472392237853</v>
      </c>
      <c r="D16" t="s">
        <v>11</v>
      </c>
    </row>
    <row r="18" spans="8:9" x14ac:dyDescent="0.3">
      <c r="H18" t="s">
        <v>27</v>
      </c>
    </row>
    <row r="20" spans="8:9" x14ac:dyDescent="0.3">
      <c r="H20" t="s">
        <v>28</v>
      </c>
      <c r="I20" t="s">
        <v>29</v>
      </c>
    </row>
    <row r="21" spans="8:9" x14ac:dyDescent="0.3">
      <c r="H21" t="s">
        <v>30</v>
      </c>
      <c r="I21" t="s">
        <v>31</v>
      </c>
    </row>
    <row r="22" spans="8:9" x14ac:dyDescent="0.3">
      <c r="H22" t="s">
        <v>32</v>
      </c>
      <c r="I22" t="s">
        <v>37</v>
      </c>
    </row>
    <row r="23" spans="8:9" x14ac:dyDescent="0.3">
      <c r="H23" t="s">
        <v>33</v>
      </c>
      <c r="I23" t="s">
        <v>34</v>
      </c>
    </row>
    <row r="24" spans="8:9" x14ac:dyDescent="0.3">
      <c r="H24" t="s">
        <v>35</v>
      </c>
      <c r="I24" t="s">
        <v>36</v>
      </c>
    </row>
  </sheetData>
  <mergeCells count="1">
    <mergeCell ref="H10:M1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FC59-0501-4D77-856D-5ECD696159FD}">
  <dimension ref="A1:K20"/>
  <sheetViews>
    <sheetView zoomScale="120" zoomScaleNormal="120" workbookViewId="0">
      <selection activeCell="E10" sqref="E10"/>
    </sheetView>
  </sheetViews>
  <sheetFormatPr baseColWidth="10" defaultColWidth="10.6640625" defaultRowHeight="14.4" x14ac:dyDescent="0.3"/>
  <cols>
    <col min="1" max="1" width="15.6640625" customWidth="1"/>
    <col min="2" max="2" width="11.44140625" bestFit="1" customWidth="1"/>
  </cols>
  <sheetData>
    <row r="1" spans="1:11" x14ac:dyDescent="0.3">
      <c r="A1" s="1" t="s">
        <v>12</v>
      </c>
    </row>
    <row r="9" spans="1:11" x14ac:dyDescent="0.3">
      <c r="F9" s="20" t="s">
        <v>53</v>
      </c>
      <c r="G9" s="20"/>
      <c r="H9" s="20"/>
      <c r="I9" s="20"/>
      <c r="J9" s="20"/>
      <c r="K9" s="20"/>
    </row>
    <row r="10" spans="1:11" x14ac:dyDescent="0.3">
      <c r="A10" s="2" t="s">
        <v>1</v>
      </c>
      <c r="B10" s="2">
        <v>45</v>
      </c>
      <c r="F10" s="20"/>
      <c r="G10" s="20"/>
      <c r="H10" s="20"/>
      <c r="I10" s="20"/>
      <c r="J10" s="20"/>
      <c r="K10" s="20"/>
    </row>
    <row r="11" spans="1:11" x14ac:dyDescent="0.3">
      <c r="A11" s="2" t="s">
        <v>2</v>
      </c>
      <c r="B11" s="2">
        <v>8.1999999999999993</v>
      </c>
      <c r="C11" t="s">
        <v>13</v>
      </c>
      <c r="F11" s="20"/>
      <c r="G11" s="20"/>
      <c r="H11" s="20"/>
      <c r="I11" s="20"/>
      <c r="J11" s="20"/>
      <c r="K11" s="20"/>
    </row>
    <row r="12" spans="1:11" x14ac:dyDescent="0.3">
      <c r="A12" s="2" t="s">
        <v>14</v>
      </c>
      <c r="B12" s="2">
        <v>2.1</v>
      </c>
      <c r="C12" t="s">
        <v>13</v>
      </c>
      <c r="F12" s="20"/>
      <c r="G12" s="20"/>
      <c r="H12" s="20"/>
      <c r="I12" s="20"/>
      <c r="J12" s="20"/>
      <c r="K12" s="20"/>
    </row>
    <row r="13" spans="1:11" x14ac:dyDescent="0.3">
      <c r="A13" s="2" t="s">
        <v>5</v>
      </c>
      <c r="B13" s="3">
        <v>0.98</v>
      </c>
    </row>
    <row r="14" spans="1:11" x14ac:dyDescent="0.3">
      <c r="A14" s="2" t="s">
        <v>6</v>
      </c>
      <c r="B14" s="4">
        <f>1-B13</f>
        <v>2.0000000000000018E-2</v>
      </c>
    </row>
    <row r="15" spans="1:11" x14ac:dyDescent="0.3">
      <c r="A15" s="2" t="s">
        <v>15</v>
      </c>
      <c r="B15" s="5">
        <f>_xlfn.NORM.S.INV(B13+B14/2)</f>
        <v>2.3263478740408408</v>
      </c>
    </row>
    <row r="17" spans="2:4" x14ac:dyDescent="0.3">
      <c r="B17" s="11">
        <f>_xlfn.CONFIDENCE.NORM(B14,B12,B10)</f>
        <v>0.72826207799344134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7.4717379220065583</v>
      </c>
      <c r="C20" s="9">
        <f>B11+B17</f>
        <v>8.9282620779934412</v>
      </c>
      <c r="D20" s="10" t="s">
        <v>11</v>
      </c>
    </row>
  </sheetData>
  <mergeCells count="1">
    <mergeCell ref="F9:K12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B698-646E-4AFF-A6F5-757A93CFAAE2}">
  <dimension ref="A1:K19"/>
  <sheetViews>
    <sheetView zoomScale="120" zoomScaleNormal="120" workbookViewId="0">
      <selection activeCell="E11" sqref="E11:K14"/>
    </sheetView>
  </sheetViews>
  <sheetFormatPr baseColWidth="10" defaultColWidth="10.6640625" defaultRowHeight="14.4" x14ac:dyDescent="0.3"/>
  <cols>
    <col min="1" max="1" width="15.6640625" customWidth="1"/>
    <col min="2" max="2" width="14" customWidth="1"/>
  </cols>
  <sheetData>
    <row r="1" spans="1:11" x14ac:dyDescent="0.3">
      <c r="A1" s="1" t="s">
        <v>19</v>
      </c>
    </row>
    <row r="10" spans="1:11" x14ac:dyDescent="0.3">
      <c r="A10" s="2" t="s">
        <v>1</v>
      </c>
      <c r="B10" s="2">
        <v>1200</v>
      </c>
    </row>
    <row r="11" spans="1:11" x14ac:dyDescent="0.3">
      <c r="A11" s="2" t="s">
        <v>20</v>
      </c>
      <c r="B11" s="2">
        <f>380/B10</f>
        <v>0.31666666666666665</v>
      </c>
      <c r="E11" s="20" t="s">
        <v>45</v>
      </c>
      <c r="F11" s="20"/>
      <c r="G11" s="20"/>
      <c r="H11" s="20"/>
      <c r="I11" s="20"/>
      <c r="J11" s="20"/>
      <c r="K11" s="20"/>
    </row>
    <row r="12" spans="1:11" x14ac:dyDescent="0.3">
      <c r="A12" s="2" t="s">
        <v>5</v>
      </c>
      <c r="B12" s="3">
        <v>0.95</v>
      </c>
      <c r="E12" s="20"/>
      <c r="F12" s="20"/>
      <c r="G12" s="20"/>
      <c r="H12" s="20"/>
      <c r="I12" s="20"/>
      <c r="J12" s="20"/>
      <c r="K12" s="20"/>
    </row>
    <row r="13" spans="1:11" x14ac:dyDescent="0.3">
      <c r="A13" s="2" t="s">
        <v>6</v>
      </c>
      <c r="B13" s="4">
        <f>1-B12</f>
        <v>5.0000000000000044E-2</v>
      </c>
      <c r="E13" s="20"/>
      <c r="F13" s="20"/>
      <c r="G13" s="20"/>
      <c r="H13" s="20"/>
      <c r="I13" s="20"/>
      <c r="J13" s="20"/>
      <c r="K13" s="20"/>
    </row>
    <row r="14" spans="1:11" x14ac:dyDescent="0.3">
      <c r="A14" s="2" t="s">
        <v>7</v>
      </c>
      <c r="B14" s="5">
        <f>_xlfn.NORM.S.INV(B12+B13/2)</f>
        <v>1.9599639845400536</v>
      </c>
      <c r="E14" s="20"/>
      <c r="F14" s="20"/>
      <c r="G14" s="20"/>
      <c r="H14" s="20"/>
      <c r="I14" s="20"/>
      <c r="J14" s="20"/>
      <c r="K14" s="20"/>
    </row>
    <row r="16" spans="1:11" x14ac:dyDescent="0.3">
      <c r="B16" s="11">
        <f>B14*SQRT(B11*(1-B11)/B10)</f>
        <v>2.6319337091487548E-2</v>
      </c>
      <c r="C16" s="7" t="s">
        <v>8</v>
      </c>
    </row>
    <row r="18" spans="2:4" x14ac:dyDescent="0.3">
      <c r="B18" s="8" t="s">
        <v>9</v>
      </c>
      <c r="C18" s="8" t="s">
        <v>10</v>
      </c>
    </row>
    <row r="19" spans="2:4" x14ac:dyDescent="0.3">
      <c r="B19" s="12">
        <f>B11-B16</f>
        <v>0.29034732957517911</v>
      </c>
      <c r="C19" s="12">
        <f>B11+B16</f>
        <v>0.34298600375815419</v>
      </c>
      <c r="D19" s="10" t="s">
        <v>11</v>
      </c>
    </row>
  </sheetData>
  <mergeCells count="1">
    <mergeCell ref="E11:K1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4731-AC72-436E-8B87-E067F325B3DD}">
  <dimension ref="A1:J20"/>
  <sheetViews>
    <sheetView zoomScale="120" zoomScaleNormal="120" workbookViewId="0">
      <selection activeCell="K19" sqref="K19"/>
    </sheetView>
  </sheetViews>
  <sheetFormatPr baseColWidth="10" defaultColWidth="10.6640625" defaultRowHeight="14.4" x14ac:dyDescent="0.3"/>
  <cols>
    <col min="1" max="1" width="15.6640625" customWidth="1"/>
  </cols>
  <sheetData>
    <row r="1" spans="1:10" x14ac:dyDescent="0.3">
      <c r="A1" s="1" t="s">
        <v>0</v>
      </c>
    </row>
    <row r="10" spans="1:10" x14ac:dyDescent="0.3">
      <c r="A10" s="2" t="s">
        <v>1</v>
      </c>
      <c r="B10" s="2">
        <v>10</v>
      </c>
    </row>
    <row r="11" spans="1:10" x14ac:dyDescent="0.3">
      <c r="A11" s="2" t="s">
        <v>2</v>
      </c>
      <c r="B11" s="2">
        <v>42</v>
      </c>
      <c r="C11" t="s">
        <v>3</v>
      </c>
      <c r="F11" s="20" t="s">
        <v>46</v>
      </c>
      <c r="G11" s="20"/>
      <c r="H11" s="20"/>
      <c r="I11" s="20"/>
      <c r="J11" s="20"/>
    </row>
    <row r="12" spans="1:10" x14ac:dyDescent="0.3">
      <c r="A12" s="2" t="s">
        <v>4</v>
      </c>
      <c r="B12" s="2">
        <v>5</v>
      </c>
      <c r="C12" t="s">
        <v>3</v>
      </c>
      <c r="F12" s="20"/>
      <c r="G12" s="20"/>
      <c r="H12" s="20"/>
      <c r="I12" s="20"/>
      <c r="J12" s="20"/>
    </row>
    <row r="13" spans="1:10" x14ac:dyDescent="0.3">
      <c r="A13" s="2" t="s">
        <v>5</v>
      </c>
      <c r="B13" s="3">
        <v>0.95</v>
      </c>
      <c r="F13" s="20"/>
      <c r="G13" s="20"/>
      <c r="H13" s="20"/>
      <c r="I13" s="20"/>
      <c r="J13" s="20"/>
    </row>
    <row r="14" spans="1:10" x14ac:dyDescent="0.3">
      <c r="A14" s="2" t="s">
        <v>6</v>
      </c>
      <c r="B14" s="4">
        <f>1-B13</f>
        <v>5.0000000000000044E-2</v>
      </c>
      <c r="F14" s="20"/>
      <c r="G14" s="20"/>
      <c r="H14" s="20"/>
      <c r="I14" s="20"/>
      <c r="J14" s="20"/>
    </row>
    <row r="15" spans="1:10" x14ac:dyDescent="0.3">
      <c r="A15" s="2" t="s">
        <v>7</v>
      </c>
      <c r="B15" s="5">
        <f>_xlfn.NORM.S.INV(B13+B14/2)</f>
        <v>1.9599639845400536</v>
      </c>
    </row>
    <row r="17" spans="2:4" x14ac:dyDescent="0.3">
      <c r="B17" s="6">
        <f>_xlfn.CONFIDENCE.NORM(B14,B12,B10)</f>
        <v>3.0989751615228069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38.901024838477191</v>
      </c>
      <c r="C20" s="9">
        <f>B11+B17</f>
        <v>45.098975161522809</v>
      </c>
      <c r="D20" s="10" t="s">
        <v>11</v>
      </c>
    </row>
  </sheetData>
  <mergeCells count="1">
    <mergeCell ref="F11:J1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E699-A274-4DAB-86FB-15829BBCF60C}">
  <dimension ref="A1:J20"/>
  <sheetViews>
    <sheetView topLeftCell="A4" zoomScale="120" zoomScaleNormal="120" workbookViewId="0">
      <selection activeCell="I16" sqref="I16"/>
    </sheetView>
  </sheetViews>
  <sheetFormatPr baseColWidth="10" defaultColWidth="10.6640625" defaultRowHeight="14.4" x14ac:dyDescent="0.3"/>
  <cols>
    <col min="1" max="1" width="15.6640625" customWidth="1"/>
  </cols>
  <sheetData>
    <row r="1" spans="1:10" x14ac:dyDescent="0.3">
      <c r="A1" s="1" t="s">
        <v>0</v>
      </c>
    </row>
    <row r="10" spans="1:10" x14ac:dyDescent="0.3">
      <c r="A10" s="2" t="s">
        <v>1</v>
      </c>
      <c r="B10" s="2">
        <v>80</v>
      </c>
    </row>
    <row r="11" spans="1:10" x14ac:dyDescent="0.3">
      <c r="A11" s="2" t="s">
        <v>2</v>
      </c>
      <c r="B11" s="2">
        <v>4200</v>
      </c>
      <c r="C11" t="s">
        <v>3</v>
      </c>
      <c r="E11" s="20" t="s">
        <v>47</v>
      </c>
      <c r="F11" s="20"/>
      <c r="G11" s="20"/>
      <c r="H11" s="20"/>
      <c r="I11" s="20"/>
      <c r="J11" s="20"/>
    </row>
    <row r="12" spans="1:10" x14ac:dyDescent="0.3">
      <c r="A12" s="2" t="s">
        <v>4</v>
      </c>
      <c r="B12" s="2">
        <v>350</v>
      </c>
      <c r="C12" t="s">
        <v>3</v>
      </c>
      <c r="E12" s="20"/>
      <c r="F12" s="20"/>
      <c r="G12" s="20"/>
      <c r="H12" s="20"/>
      <c r="I12" s="20"/>
      <c r="J12" s="20"/>
    </row>
    <row r="13" spans="1:10" x14ac:dyDescent="0.3">
      <c r="A13" s="2" t="s">
        <v>5</v>
      </c>
      <c r="B13" s="3">
        <v>0.99</v>
      </c>
      <c r="E13" s="20"/>
      <c r="F13" s="20"/>
      <c r="G13" s="20"/>
      <c r="H13" s="20"/>
      <c r="I13" s="20"/>
      <c r="J13" s="20"/>
    </row>
    <row r="14" spans="1:10" x14ac:dyDescent="0.3">
      <c r="A14" s="2" t="s">
        <v>6</v>
      </c>
      <c r="B14" s="4">
        <f>1-B13</f>
        <v>1.0000000000000009E-2</v>
      </c>
      <c r="E14" s="20"/>
      <c r="F14" s="20"/>
      <c r="G14" s="20"/>
      <c r="H14" s="20"/>
      <c r="I14" s="20"/>
      <c r="J14" s="20"/>
    </row>
    <row r="15" spans="1:10" x14ac:dyDescent="0.3">
      <c r="A15" s="2" t="s">
        <v>7</v>
      </c>
      <c r="B15" s="5">
        <f>_xlfn.NORM.S.INV(B13+B14/2)</f>
        <v>2.5758293035488999</v>
      </c>
    </row>
    <row r="17" spans="2:4" x14ac:dyDescent="0.3">
      <c r="B17" s="6">
        <f>_xlfn.CONFIDENCE.NORM(B14,B12,B10)</f>
        <v>100.79526487049741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4099.2047351295023</v>
      </c>
      <c r="C20" s="9">
        <f>B11+B17</f>
        <v>4300.7952648704977</v>
      </c>
      <c r="D20" s="10" t="s">
        <v>11</v>
      </c>
    </row>
  </sheetData>
  <mergeCells count="1">
    <mergeCell ref="E11:J1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2428-A79A-49EA-88EB-0789A29444D7}">
  <dimension ref="A1:I19"/>
  <sheetViews>
    <sheetView zoomScale="120" zoomScaleNormal="120" workbookViewId="0">
      <selection activeCell="E10" sqref="E10:I13"/>
    </sheetView>
  </sheetViews>
  <sheetFormatPr baseColWidth="10" defaultColWidth="10.6640625" defaultRowHeight="14.4" x14ac:dyDescent="0.3"/>
  <cols>
    <col min="1" max="1" width="15.6640625" customWidth="1"/>
    <col min="2" max="2" width="14" customWidth="1"/>
  </cols>
  <sheetData>
    <row r="1" spans="1:9" x14ac:dyDescent="0.3">
      <c r="A1" s="1" t="s">
        <v>19</v>
      </c>
    </row>
    <row r="10" spans="1:9" x14ac:dyDescent="0.3">
      <c r="A10" s="2" t="s">
        <v>1</v>
      </c>
      <c r="B10" s="2">
        <v>200</v>
      </c>
      <c r="E10" s="20" t="s">
        <v>48</v>
      </c>
      <c r="F10" s="20"/>
      <c r="G10" s="20"/>
      <c r="H10" s="20"/>
      <c r="I10" s="20"/>
    </row>
    <row r="11" spans="1:9" x14ac:dyDescent="0.3">
      <c r="A11" s="2" t="s">
        <v>20</v>
      </c>
      <c r="B11" s="2">
        <f>155/B10</f>
        <v>0.77500000000000002</v>
      </c>
      <c r="E11" s="20"/>
      <c r="F11" s="20"/>
      <c r="G11" s="20"/>
      <c r="H11" s="20"/>
      <c r="I11" s="20"/>
    </row>
    <row r="12" spans="1:9" x14ac:dyDescent="0.3">
      <c r="A12" s="2" t="s">
        <v>5</v>
      </c>
      <c r="B12" s="3">
        <v>0.9</v>
      </c>
      <c r="E12" s="20"/>
      <c r="F12" s="20"/>
      <c r="G12" s="20"/>
      <c r="H12" s="20"/>
      <c r="I12" s="20"/>
    </row>
    <row r="13" spans="1:9" x14ac:dyDescent="0.3">
      <c r="A13" s="2" t="s">
        <v>6</v>
      </c>
      <c r="B13" s="4">
        <f>1-B12</f>
        <v>9.9999999999999978E-2</v>
      </c>
      <c r="E13" s="20"/>
      <c r="F13" s="20"/>
      <c r="G13" s="20"/>
      <c r="H13" s="20"/>
      <c r="I13" s="20"/>
    </row>
    <row r="14" spans="1:9" x14ac:dyDescent="0.3">
      <c r="A14" s="2" t="s">
        <v>7</v>
      </c>
      <c r="B14" s="5">
        <f>_xlfn.NORM.S.INV(B12+B13/2)</f>
        <v>1.6448536269514715</v>
      </c>
    </row>
    <row r="16" spans="1:9" x14ac:dyDescent="0.3">
      <c r="B16" s="11">
        <f>B14*SQRT(B11*(1-B11)/B10)</f>
        <v>4.8568464038297898E-2</v>
      </c>
      <c r="C16" s="7" t="s">
        <v>8</v>
      </c>
    </row>
    <row r="18" spans="2:4" x14ac:dyDescent="0.3">
      <c r="B18" s="8" t="s">
        <v>9</v>
      </c>
      <c r="C18" s="8" t="s">
        <v>10</v>
      </c>
    </row>
    <row r="19" spans="2:4" x14ac:dyDescent="0.3">
      <c r="B19" s="12">
        <f>B11-B16</f>
        <v>0.72643153596170218</v>
      </c>
      <c r="C19" s="12">
        <f>B11+B16</f>
        <v>0.82356846403829786</v>
      </c>
      <c r="D19" s="10" t="s">
        <v>11</v>
      </c>
    </row>
  </sheetData>
  <mergeCells count="1">
    <mergeCell ref="E10:I13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0E8D-36DA-4BF8-9917-84DDFD74F217}">
  <dimension ref="A1:K20"/>
  <sheetViews>
    <sheetView zoomScale="120" zoomScaleNormal="120" workbookViewId="0">
      <selection activeCell="J17" sqref="J17"/>
    </sheetView>
  </sheetViews>
  <sheetFormatPr baseColWidth="10" defaultColWidth="10.6640625" defaultRowHeight="14.4" x14ac:dyDescent="0.3"/>
  <cols>
    <col min="1" max="1" width="15.6640625" customWidth="1"/>
  </cols>
  <sheetData>
    <row r="1" spans="1:11" x14ac:dyDescent="0.3">
      <c r="A1" s="1" t="s">
        <v>16</v>
      </c>
    </row>
    <row r="10" spans="1:11" x14ac:dyDescent="0.3">
      <c r="A10" s="2" t="s">
        <v>1</v>
      </c>
      <c r="B10" s="2">
        <v>25</v>
      </c>
      <c r="F10" s="20" t="s">
        <v>49</v>
      </c>
      <c r="G10" s="20"/>
      <c r="H10" s="20"/>
      <c r="I10" s="20"/>
      <c r="J10" s="20"/>
      <c r="K10" s="20"/>
    </row>
    <row r="11" spans="1:11" x14ac:dyDescent="0.3">
      <c r="A11" s="2" t="s">
        <v>2</v>
      </c>
      <c r="B11" s="2">
        <v>14</v>
      </c>
      <c r="F11" s="20"/>
      <c r="G11" s="20"/>
      <c r="H11" s="20"/>
      <c r="I11" s="20"/>
      <c r="J11" s="20"/>
      <c r="K11" s="20"/>
    </row>
    <row r="12" spans="1:11" x14ac:dyDescent="0.3">
      <c r="A12" s="2" t="s">
        <v>14</v>
      </c>
      <c r="B12" s="2">
        <v>3</v>
      </c>
      <c r="F12" s="20"/>
      <c r="G12" s="20"/>
      <c r="H12" s="20"/>
      <c r="I12" s="20"/>
      <c r="J12" s="20"/>
      <c r="K12" s="20"/>
    </row>
    <row r="13" spans="1:11" x14ac:dyDescent="0.3">
      <c r="A13" s="2" t="s">
        <v>5</v>
      </c>
      <c r="B13" s="3">
        <v>0.95</v>
      </c>
      <c r="F13" s="20"/>
      <c r="G13" s="20"/>
      <c r="H13" s="20"/>
      <c r="I13" s="20"/>
      <c r="J13" s="20"/>
      <c r="K13" s="20"/>
    </row>
    <row r="14" spans="1:11" x14ac:dyDescent="0.3">
      <c r="A14" s="2" t="s">
        <v>6</v>
      </c>
      <c r="B14" s="4">
        <f>1-B13</f>
        <v>5.0000000000000044E-2</v>
      </c>
    </row>
    <row r="15" spans="1:11" x14ac:dyDescent="0.3">
      <c r="A15" s="2" t="s">
        <v>15</v>
      </c>
      <c r="B15" s="5">
        <f>-_xlfn.T.INV(B14/2,B10-1)</f>
        <v>2.0638985616280254</v>
      </c>
    </row>
    <row r="17" spans="2:4" x14ac:dyDescent="0.3">
      <c r="B17" s="11">
        <f>_xlfn.CONFIDENCE.T(B14,B12,B10)</f>
        <v>1.2383391369768153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12.761660863023184</v>
      </c>
      <c r="C20" s="9">
        <f>B11+B17</f>
        <v>15.238339136976816</v>
      </c>
      <c r="D20" s="10" t="s">
        <v>11</v>
      </c>
    </row>
  </sheetData>
  <mergeCells count="1">
    <mergeCell ref="F10:K13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3EFE-0E55-40AB-9991-4421C73435B9}">
  <dimension ref="A1:K19"/>
  <sheetViews>
    <sheetView zoomScale="120" zoomScaleNormal="120" workbookViewId="0">
      <selection activeCell="D8" sqref="D8"/>
    </sheetView>
  </sheetViews>
  <sheetFormatPr baseColWidth="10" defaultColWidth="10.6640625" defaultRowHeight="14.4" x14ac:dyDescent="0.3"/>
  <cols>
    <col min="1" max="1" width="15.6640625" customWidth="1"/>
  </cols>
  <sheetData>
    <row r="1" spans="1:11" x14ac:dyDescent="0.3">
      <c r="A1" s="1" t="s">
        <v>19</v>
      </c>
    </row>
    <row r="9" spans="1:11" x14ac:dyDescent="0.3">
      <c r="F9" s="20" t="s">
        <v>50</v>
      </c>
      <c r="G9" s="20"/>
      <c r="H9" s="20"/>
      <c r="I9" s="20"/>
      <c r="J9" s="20"/>
      <c r="K9" s="20"/>
    </row>
    <row r="10" spans="1:11" x14ac:dyDescent="0.3">
      <c r="A10" s="2" t="s">
        <v>1</v>
      </c>
      <c r="B10" s="2">
        <v>850</v>
      </c>
      <c r="F10" s="20"/>
      <c r="G10" s="20"/>
      <c r="H10" s="20"/>
      <c r="I10" s="20"/>
      <c r="J10" s="20"/>
      <c r="K10" s="20"/>
    </row>
    <row r="11" spans="1:11" x14ac:dyDescent="0.3">
      <c r="A11" s="2" t="s">
        <v>20</v>
      </c>
      <c r="B11" s="2">
        <f>42/B10</f>
        <v>4.9411764705882349E-2</v>
      </c>
      <c r="F11" s="20"/>
      <c r="G11" s="20"/>
      <c r="H11" s="20"/>
      <c r="I11" s="20"/>
      <c r="J11" s="20"/>
      <c r="K11" s="20"/>
    </row>
    <row r="12" spans="1:11" x14ac:dyDescent="0.3">
      <c r="A12" s="2" t="s">
        <v>5</v>
      </c>
      <c r="B12" s="3">
        <v>0.98</v>
      </c>
      <c r="F12" s="20"/>
      <c r="G12" s="20"/>
      <c r="H12" s="20"/>
      <c r="I12" s="20"/>
      <c r="J12" s="20"/>
      <c r="K12" s="20"/>
    </row>
    <row r="13" spans="1:11" x14ac:dyDescent="0.3">
      <c r="A13" s="2" t="s">
        <v>6</v>
      </c>
      <c r="B13" s="4">
        <f>1-B12</f>
        <v>2.0000000000000018E-2</v>
      </c>
    </row>
    <row r="14" spans="1:11" x14ac:dyDescent="0.3">
      <c r="A14" s="2" t="s">
        <v>7</v>
      </c>
      <c r="B14" s="5">
        <f>_xlfn.NORM.S.INV(B12+B13/2)</f>
        <v>2.3263478740408408</v>
      </c>
    </row>
    <row r="16" spans="1:11" x14ac:dyDescent="0.3">
      <c r="B16" s="11">
        <f>B14*SQRT(B11*(1-B11)/B10)</f>
        <v>1.729324901484779E-2</v>
      </c>
      <c r="C16" s="7" t="s">
        <v>8</v>
      </c>
    </row>
    <row r="18" spans="2:4" x14ac:dyDescent="0.3">
      <c r="B18" s="8" t="s">
        <v>9</v>
      </c>
      <c r="C18" s="8" t="s">
        <v>10</v>
      </c>
    </row>
    <row r="19" spans="2:4" x14ac:dyDescent="0.3">
      <c r="B19" s="12">
        <f>B11-B16</f>
        <v>3.2118515691034563E-2</v>
      </c>
      <c r="C19" s="12">
        <f>B11+B16</f>
        <v>6.6705013720730136E-2</v>
      </c>
      <c r="D19" s="10" t="s">
        <v>11</v>
      </c>
    </row>
  </sheetData>
  <mergeCells count="1">
    <mergeCell ref="F9:K12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B1A4-2BA3-48C6-9666-A1678F27CF09}">
  <dimension ref="A1:N24"/>
  <sheetViews>
    <sheetView zoomScaleNormal="100" workbookViewId="0">
      <selection activeCell="G11" sqref="G11"/>
    </sheetView>
  </sheetViews>
  <sheetFormatPr baseColWidth="10" defaultColWidth="10.6640625" defaultRowHeight="14.4" x14ac:dyDescent="0.3"/>
  <cols>
    <col min="1" max="1" width="16.109375" customWidth="1"/>
  </cols>
  <sheetData>
    <row r="1" spans="1:14" x14ac:dyDescent="0.3">
      <c r="A1" s="13" t="s">
        <v>21</v>
      </c>
      <c r="B1" s="14"/>
      <c r="C1" s="14"/>
      <c r="D1" s="14"/>
    </row>
    <row r="2" spans="1:14" x14ac:dyDescent="0.3">
      <c r="A2" s="14"/>
      <c r="B2" s="14"/>
      <c r="C2" s="14"/>
      <c r="D2" s="14"/>
    </row>
    <row r="3" spans="1:14" x14ac:dyDescent="0.3">
      <c r="A3" s="14"/>
      <c r="B3" s="14"/>
      <c r="C3" s="14"/>
      <c r="D3" s="14"/>
    </row>
    <row r="4" spans="1:14" x14ac:dyDescent="0.3">
      <c r="A4" s="15" t="s">
        <v>1</v>
      </c>
      <c r="B4" s="16">
        <v>15</v>
      </c>
      <c r="C4" s="14"/>
      <c r="D4" s="14"/>
    </row>
    <row r="5" spans="1:14" x14ac:dyDescent="0.3">
      <c r="A5" s="15" t="s">
        <v>14</v>
      </c>
      <c r="B5" s="15"/>
      <c r="C5" s="14"/>
      <c r="D5" s="14"/>
    </row>
    <row r="6" spans="1:14" x14ac:dyDescent="0.3">
      <c r="A6" s="15" t="s">
        <v>22</v>
      </c>
      <c r="B6" s="15">
        <f>28</f>
        <v>28</v>
      </c>
      <c r="C6" s="14"/>
      <c r="D6" s="14"/>
    </row>
    <row r="7" spans="1:14" x14ac:dyDescent="0.3">
      <c r="A7" s="15" t="s">
        <v>5</v>
      </c>
      <c r="B7" s="19">
        <v>0.95</v>
      </c>
      <c r="C7" s="18"/>
      <c r="D7" s="14"/>
    </row>
    <row r="8" spans="1:14" x14ac:dyDescent="0.3">
      <c r="A8" s="2" t="s">
        <v>6</v>
      </c>
      <c r="B8" s="4">
        <f>1-B7</f>
        <v>5.0000000000000044E-2</v>
      </c>
    </row>
    <row r="9" spans="1:14" x14ac:dyDescent="0.3">
      <c r="A9" s="2" t="s">
        <v>23</v>
      </c>
      <c r="B9" s="6">
        <f>_xlfn.CHISQ.INV(B8/2,B4-1)</f>
        <v>5.6287261030397326</v>
      </c>
    </row>
    <row r="10" spans="1:14" x14ac:dyDescent="0.3">
      <c r="A10" s="2" t="s">
        <v>24</v>
      </c>
      <c r="B10" s="6">
        <f>_xlfn.CHISQ.INV(1-B8/2,B4-1)</f>
        <v>26.118948045037371</v>
      </c>
    </row>
    <row r="12" spans="1:14" x14ac:dyDescent="0.3">
      <c r="B12">
        <f>(B4-1)*B6/B9</f>
        <v>69.642756251419769</v>
      </c>
      <c r="C12" t="s">
        <v>25</v>
      </c>
    </row>
    <row r="13" spans="1:14" x14ac:dyDescent="0.3">
      <c r="B13">
        <f>(B4-1)*B6/B10</f>
        <v>15.00826140945904</v>
      </c>
      <c r="C13" t="s">
        <v>26</v>
      </c>
      <c r="I13" s="20" t="s">
        <v>51</v>
      </c>
      <c r="J13" s="20"/>
      <c r="K13" s="20"/>
      <c r="L13" s="20"/>
      <c r="M13" s="20"/>
      <c r="N13" s="20"/>
    </row>
    <row r="14" spans="1:14" x14ac:dyDescent="0.3">
      <c r="I14" s="20"/>
      <c r="J14" s="20"/>
      <c r="K14" s="20"/>
      <c r="L14" s="20"/>
      <c r="M14" s="20"/>
      <c r="N14" s="20"/>
    </row>
    <row r="15" spans="1:14" x14ac:dyDescent="0.3">
      <c r="B15" s="17" t="s">
        <v>9</v>
      </c>
      <c r="C15" s="17" t="s">
        <v>10</v>
      </c>
      <c r="I15" s="20"/>
      <c r="J15" s="20"/>
      <c r="K15" s="20"/>
      <c r="L15" s="20"/>
      <c r="M15" s="20"/>
      <c r="N15" s="20"/>
    </row>
    <row r="16" spans="1:14" x14ac:dyDescent="0.3">
      <c r="B16" s="17">
        <f>B13</f>
        <v>15.00826140945904</v>
      </c>
      <c r="C16" s="17">
        <f>B12</f>
        <v>69.642756251419769</v>
      </c>
      <c r="D16" t="s">
        <v>11</v>
      </c>
      <c r="I16" s="20"/>
      <c r="J16" s="20"/>
      <c r="K16" s="20"/>
      <c r="L16" s="20"/>
      <c r="M16" s="20"/>
      <c r="N16" s="20"/>
    </row>
    <row r="18" spans="8:9" x14ac:dyDescent="0.3">
      <c r="H18" t="s">
        <v>27</v>
      </c>
    </row>
    <row r="20" spans="8:9" x14ac:dyDescent="0.3">
      <c r="H20" t="s">
        <v>28</v>
      </c>
      <c r="I20" t="s">
        <v>29</v>
      </c>
    </row>
    <row r="21" spans="8:9" x14ac:dyDescent="0.3">
      <c r="H21" t="s">
        <v>30</v>
      </c>
      <c r="I21" t="s">
        <v>31</v>
      </c>
    </row>
    <row r="22" spans="8:9" x14ac:dyDescent="0.3">
      <c r="H22" t="s">
        <v>32</v>
      </c>
      <c r="I22" t="s">
        <v>37</v>
      </c>
    </row>
    <row r="23" spans="8:9" x14ac:dyDescent="0.3">
      <c r="H23" t="s">
        <v>33</v>
      </c>
      <c r="I23" t="s">
        <v>34</v>
      </c>
    </row>
    <row r="24" spans="8:9" x14ac:dyDescent="0.3">
      <c r="H24" t="s">
        <v>35</v>
      </c>
      <c r="I24" t="s">
        <v>36</v>
      </c>
    </row>
  </sheetData>
  <mergeCells count="1">
    <mergeCell ref="I13:N16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4172-3646-453F-B1FC-89D19F7F2762}">
  <dimension ref="A1:G20"/>
  <sheetViews>
    <sheetView zoomScale="120" zoomScaleNormal="120" workbookViewId="0">
      <selection activeCell="G12" sqref="G12"/>
    </sheetView>
  </sheetViews>
  <sheetFormatPr baseColWidth="10" defaultColWidth="10.6640625" defaultRowHeight="14.4" x14ac:dyDescent="0.3"/>
  <cols>
    <col min="1" max="1" width="15.6640625" customWidth="1"/>
  </cols>
  <sheetData>
    <row r="1" spans="1:7" x14ac:dyDescent="0.3">
      <c r="A1" s="1" t="s">
        <v>16</v>
      </c>
    </row>
    <row r="10" spans="1:7" x14ac:dyDescent="0.3">
      <c r="A10" s="2" t="s">
        <v>1</v>
      </c>
      <c r="B10" s="2">
        <v>9</v>
      </c>
    </row>
    <row r="11" spans="1:7" x14ac:dyDescent="0.3">
      <c r="A11" s="2" t="s">
        <v>2</v>
      </c>
      <c r="B11" s="2">
        <v>88</v>
      </c>
    </row>
    <row r="12" spans="1:7" x14ac:dyDescent="0.3">
      <c r="A12" s="2" t="s">
        <v>14</v>
      </c>
      <c r="B12" s="2">
        <v>6</v>
      </c>
      <c r="G12" t="s">
        <v>52</v>
      </c>
    </row>
    <row r="13" spans="1:7" x14ac:dyDescent="0.3">
      <c r="A13" s="2" t="s">
        <v>5</v>
      </c>
      <c r="B13" s="3">
        <v>0.95</v>
      </c>
    </row>
    <row r="14" spans="1:7" x14ac:dyDescent="0.3">
      <c r="A14" s="2" t="s">
        <v>6</v>
      </c>
      <c r="B14" s="4">
        <f>1-B13</f>
        <v>5.0000000000000044E-2</v>
      </c>
    </row>
    <row r="15" spans="1:7" x14ac:dyDescent="0.3">
      <c r="A15" s="2" t="s">
        <v>15</v>
      </c>
      <c r="B15" s="5">
        <f>-_xlfn.T.INV(B14/2,B10-1)</f>
        <v>2.3060041352041662</v>
      </c>
    </row>
    <row r="17" spans="2:4" x14ac:dyDescent="0.3">
      <c r="B17" s="11">
        <f>_xlfn.CONFIDENCE.T(B14,B12,B10)</f>
        <v>4.6120082704083325</v>
      </c>
      <c r="C17" s="7" t="s">
        <v>8</v>
      </c>
    </row>
    <row r="19" spans="2:4" x14ac:dyDescent="0.3">
      <c r="B19" s="8" t="s">
        <v>9</v>
      </c>
      <c r="C19" s="8" t="s">
        <v>10</v>
      </c>
    </row>
    <row r="20" spans="2:4" x14ac:dyDescent="0.3">
      <c r="B20" s="9">
        <f>B11-B17</f>
        <v>83.387991729591661</v>
      </c>
      <c r="C20" s="9">
        <f>B11+B17</f>
        <v>92.612008270408339</v>
      </c>
      <c r="D20" s="10" t="s">
        <v>11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IC1 Media</vt:lpstr>
      <vt:lpstr>IC2 Media</vt:lpstr>
      <vt:lpstr>IC3 Media</vt:lpstr>
      <vt:lpstr>IC4 Prop.</vt:lpstr>
      <vt:lpstr>IC5 Prop.</vt:lpstr>
      <vt:lpstr>Ejercicio1</vt:lpstr>
      <vt:lpstr>Ejercicio2</vt:lpstr>
      <vt:lpstr>Ejercicio 3</vt:lpstr>
      <vt:lpstr>Ejercicio 4</vt:lpstr>
      <vt:lpstr>Ejercicio 5</vt:lpstr>
      <vt:lpstr>Ejercicio 6</vt:lpstr>
      <vt:lpstr>Ejercicio 7</vt:lpstr>
      <vt:lpstr>Ejercicio 8</vt:lpstr>
      <vt:lpstr>Ejercicio 9</vt:lpstr>
      <vt:lpstr>Ejercicio 10</vt:lpstr>
      <vt:lpstr>Ejercicio 11</vt:lpstr>
      <vt:lpstr>Ejercicio12</vt:lpstr>
      <vt:lpstr>Ejercicio 13</vt:lpstr>
      <vt:lpstr>Ejercicio 14</vt:lpstr>
      <vt:lpstr>Ejercicio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Amado</dc:creator>
  <dc:description/>
  <cp:lastModifiedBy>2418866 - WALTER EMANUEL FIGUEROA VASQUEZ</cp:lastModifiedBy>
  <cp:revision>0</cp:revision>
  <dcterms:created xsi:type="dcterms:W3CDTF">2022-02-26T00:13:00Z</dcterms:created>
  <dcterms:modified xsi:type="dcterms:W3CDTF">2026-04-30T07:54:48Z</dcterms:modified>
  <dc:language>en-US</dc:language>
</cp:coreProperties>
</file>
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ma\Downloads\"/>
    </mc:Choice>
  </mc:AlternateContent>
  <xr:revisionPtr revIDLastSave="0" documentId="13_ncr:1_{263E0908-8684-4DC4-A35D-1FA58106C85E}" xr6:coauthVersionLast="47" xr6:coauthVersionMax="47" xr10:uidLastSave="{00000000-0000-0000-0000-000000000000}"/>
  <bookViews>
    <workbookView xWindow="-108" yWindow="-108" windowWidth="23256" windowHeight="12456" xr2:uid="{5BF6F906-D0A2-4284-AEEA-04EF2A72033E}"/>
  </bookViews>
  <sheets>
    <sheet name="IC1 Media" sheetId="1" r:id="rId1"/>
    <sheet name="IC2 Media" sheetId="2" r:id="rId2"/>
    <sheet name="IC3 Media" sheetId="3" r:id="rId3"/>
    <sheet name="IC4 Prop." sheetId="4" r:id="rId4"/>
    <sheet name="IC5 Var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2" l="1"/>
  <c r="B13" i="4"/>
  <c r="B14" i="4" s="1"/>
  <c r="B16" i="4" s="1"/>
  <c r="B11" i="4"/>
  <c r="C19" i="4" s="1"/>
  <c r="B14" i="3"/>
  <c r="B15" i="3" s="1"/>
  <c r="B14" i="2"/>
  <c r="B17" i="2" s="1"/>
  <c r="C20" i="2" s="1"/>
  <c r="B14" i="1"/>
  <c r="B17" i="1" s="1"/>
  <c r="B19" i="4" l="1"/>
  <c r="B17" i="3"/>
  <c r="C20" i="3" s="1"/>
  <c r="B20" i="2"/>
  <c r="C20" i="1"/>
  <c r="B20" i="1"/>
  <c r="B15" i="1"/>
  <c r="B20" i="3" l="1"/>
</calcChain>
</file>

<file path=xl/sharedStrings.xml><?xml version="1.0" encoding="utf-8"?>
<sst xmlns="http://schemas.openxmlformats.org/spreadsheetml/2006/main" count="49" uniqueCount="19">
  <si>
    <t>Desv. Est. (P)</t>
  </si>
  <si>
    <t>Media (m)</t>
  </si>
  <si>
    <t>km/hora</t>
  </si>
  <si>
    <t>Nivel de conf.</t>
  </si>
  <si>
    <t>Coef. Z.</t>
  </si>
  <si>
    <t>Nivel de sign.</t>
  </si>
  <si>
    <t>n</t>
  </si>
  <si>
    <t>LI</t>
  </si>
  <si>
    <t>LS</t>
  </si>
  <si>
    <t>INTERVALO DE CONFIANZA PARA LA MEDIA (POBLACIONAL), SÍ SE CONOCE LA DESVIACIÓN ESTÁNDAR POBLACIONAL</t>
  </si>
  <si>
    <t>Valor que deberá restarse y sumarse a la media para determinar el intervalo de confianza</t>
  </si>
  <si>
    <t>Intervalo de confianza</t>
  </si>
  <si>
    <t>mg/litro</t>
  </si>
  <si>
    <t>Desv. Est. (m)</t>
  </si>
  <si>
    <t>INTERVALO DE CONFIANZA PARA LA PROPORCION (POBLACIONAL)</t>
  </si>
  <si>
    <t>Proporción (m)</t>
  </si>
  <si>
    <t>INTERVALO DE CONFIANZA PARA LA MEDIA (POBLACIONAL), SI NO SE CONOCE LA DESVIACIÓN ESTÁNDAR POBLACIONAL</t>
  </si>
  <si>
    <t>Coef. t.</t>
  </si>
  <si>
    <t>INTERVALO DE CONFIANZA PARA LA MEDIA (POBLACIONAL) DE UNA MUESTRA PEQUEÑA (n &lt;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</si>
</sst>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10" fontId="0" fillId="2" borderId="1" xfId="1" applyNumberFormat="1" applyFont="1" applyFill="1" applyBorder="1"/>
    <xf numFmtId="10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2" fontId="0" fillId="0" borderId="1" xfId="0" applyNumberFormat="1" applyBorder="1"/>
    <xf numFmtId="165" fontId="0" fillId="0" borderId="1" xfId="0" applyNumberFormat="1" applyBorder="1"/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8</xdr:col>
      <xdr:colOff>575680</xdr:colOff>
      <xdr:row>7</xdr:row>
      <xdr:rowOff>44450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880DF5-AFE8-44E5-BDAD-FFE33F697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1"/>
          <a:ext cx="7205080" cy="9651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6</xdr:col>
      <xdr:colOff>673100</xdr:colOff>
      <xdr:row>8</xdr:row>
      <xdr:rowOff>3175</xdr:rowOff>
    </xdr:from>
    <xdr:ext cx="1499578" cy="5825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2F7BA4A-94FF-7614-D199-BC9C29AE8C1D}"/>
                </a:ext>
              </a:extLst>
            </xdr:cNvPr>
            <xdr:cNvSpPr txBox="1"/>
          </xdr:nvSpPr>
          <xdr:spPr>
            <a:xfrm>
              <a:off x="5715000" y="1476375"/>
              <a:ext cx="1499578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2F7BA4A-94FF-7614-D199-BC9C29AE8C1D}"/>
                </a:ext>
              </a:extLst>
            </xdr:cNvPr>
            <xdr:cNvSpPr txBox="1"/>
          </xdr:nvSpPr>
          <xdr:spPr>
            <a:xfrm>
              <a:off x="5715000" y="1476375"/>
              <a:ext cx="1499578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±𝑍_(𝛼/2)∙𝜎/√𝑛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575680</xdr:colOff>
      <xdr:row>7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A3F5BC-3C8A-47A7-A119-3633F3304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0"/>
          <a:ext cx="7205080" cy="984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6</xdr:col>
      <xdr:colOff>273050</xdr:colOff>
      <xdr:row>8</xdr:row>
      <xdr:rowOff>6350</xdr:rowOff>
    </xdr:from>
    <xdr:ext cx="1901546" cy="584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3BF7BF-B436-4C4F-89E0-ED2A93A3D357}"/>
                </a:ext>
              </a:extLst>
            </xdr:cNvPr>
            <xdr:cNvSpPr txBox="1"/>
          </xdr:nvSpPr>
          <xdr:spPr>
            <a:xfrm>
              <a:off x="5314950" y="14795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/2,   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3BF7BF-B436-4C4F-89E0-ED2A93A3D357}"/>
                </a:ext>
              </a:extLst>
            </xdr:cNvPr>
            <xdr:cNvSpPr txBox="1"/>
          </xdr:nvSpPr>
          <xdr:spPr>
            <a:xfrm>
              <a:off x="5314950" y="14795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±𝑡_(𝛼/2,   𝑛−1)∙𝑠/√𝑛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575680</xdr:colOff>
      <xdr:row>7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0EC359-58CF-4266-9555-8A35E5EB7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0"/>
          <a:ext cx="7205080" cy="9779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6</xdr:col>
      <xdr:colOff>266700</xdr:colOff>
      <xdr:row>8</xdr:row>
      <xdr:rowOff>12700</xdr:rowOff>
    </xdr:from>
    <xdr:ext cx="1901546" cy="5825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D63BA14-ABD4-40D4-91BC-4BD5A26181D3}"/>
                </a:ext>
              </a:extLst>
            </xdr:cNvPr>
            <xdr:cNvSpPr txBox="1"/>
          </xdr:nvSpPr>
          <xdr:spPr>
            <a:xfrm>
              <a:off x="5308600" y="1485900"/>
              <a:ext cx="1901546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/2,   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D63BA14-ABD4-40D4-91BC-4BD5A26181D3}"/>
                </a:ext>
              </a:extLst>
            </xdr:cNvPr>
            <xdr:cNvSpPr txBox="1"/>
          </xdr:nvSpPr>
          <xdr:spPr>
            <a:xfrm>
              <a:off x="5308600" y="1485900"/>
              <a:ext cx="1901546" cy="58253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±𝑡_(𝛼/2,   𝑛−1)∙𝜎/√𝑛</a:t>
              </a:r>
              <a:endParaRPr lang="es-GT" sz="2000"/>
            </a:p>
          </xdr:txBody>
        </xdr:sp>
      </mc:Fallback>
    </mc:AlternateContent>
    <xdr:clientData/>
  </xdr:oneCellAnchor>
  <xdr:oneCellAnchor>
    <xdr:from>
      <xdr:col>6</xdr:col>
      <xdr:colOff>273050</xdr:colOff>
      <xdr:row>11</xdr:row>
      <xdr:rowOff>127000</xdr:rowOff>
    </xdr:from>
    <xdr:ext cx="1901546" cy="584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5369070-2F60-4C47-9531-7C5E30E21FDE}"/>
                </a:ext>
              </a:extLst>
            </xdr:cNvPr>
            <xdr:cNvSpPr txBox="1"/>
          </xdr:nvSpPr>
          <xdr:spPr>
            <a:xfrm>
              <a:off x="5314950" y="21526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/2,   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5369070-2F60-4C47-9531-7C5E30E21FDE}"/>
                </a:ext>
              </a:extLst>
            </xdr:cNvPr>
            <xdr:cNvSpPr txBox="1"/>
          </xdr:nvSpPr>
          <xdr:spPr>
            <a:xfrm>
              <a:off x="5314950" y="2152650"/>
              <a:ext cx="1901546" cy="58451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𝑥 ̅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±𝑡_(𝛼/2,   𝑛−1)∙𝑠/√𝑛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8</xdr:col>
      <xdr:colOff>575680</xdr:colOff>
      <xdr:row>7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CB7205-87F6-4C48-A9A1-EEC06BC79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8301"/>
          <a:ext cx="7205080" cy="1015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5</xdr:col>
      <xdr:colOff>635000</xdr:colOff>
      <xdr:row>8</xdr:row>
      <xdr:rowOff>6350</xdr:rowOff>
    </xdr:from>
    <xdr:ext cx="2330382" cy="909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DC8C810-C720-441F-BC6D-DD5C69F21E0C}"/>
                </a:ext>
              </a:extLst>
            </xdr:cNvPr>
            <xdr:cNvSpPr txBox="1"/>
          </xdr:nvSpPr>
          <xdr:spPr>
            <a:xfrm>
              <a:off x="4883150" y="1479550"/>
              <a:ext cx="2330382" cy="90935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s-GT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GT" sz="20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</m:t>
                        </m:r>
                      </m:sub>
                    </m:sSub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̂"/>
                                <m:ctrlPr>
                                  <a:rPr lang="es-GT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GT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  <m:d>
                              <m:dPr>
                                <m:ctrlPr>
                                  <a:rPr lang="es-GT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GT" sz="20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acc>
                                  <m:accPr>
                                    <m:chr m:val="̂"/>
                                    <m:ctrlPr>
                                      <a:rPr lang="es-GT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GT" sz="20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</m:d>
                          </m:num>
                          <m:den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GT" sz="2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DC8C810-C720-441F-BC6D-DD5C69F21E0C}"/>
                </a:ext>
              </a:extLst>
            </xdr:cNvPr>
            <xdr:cNvSpPr txBox="1"/>
          </xdr:nvSpPr>
          <xdr:spPr>
            <a:xfrm>
              <a:off x="4883150" y="1479550"/>
              <a:ext cx="2330382" cy="90935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2000" b="0" i="0">
                  <a:latin typeface="Cambria Math" panose="02040503050406030204" pitchFamily="18" charset="0"/>
                </a:rPr>
                <a:t>𝑝 ̂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±𝑍_(𝛼/2)∙√((𝑝 ̂(</a:t>
              </a:r>
              <a:r>
                <a:rPr lang="es-GT" sz="2000" b="0" i="0">
                  <a:latin typeface="Cambria Math" panose="02040503050406030204" pitchFamily="18" charset="0"/>
                </a:rPr>
                <a:t>1−𝑝 ̂ )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)/𝑛)</a:t>
              </a:r>
              <a:endParaRPr lang="es-GT" sz="20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121920</xdr:rowOff>
    </xdr:from>
    <xdr:ext cx="3493585" cy="7534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AB1FB67-180E-4CFB-A4C8-9794C57C4836}"/>
                </a:ext>
              </a:extLst>
            </xdr:cNvPr>
            <xdr:cNvSpPr txBox="1"/>
          </xdr:nvSpPr>
          <xdr:spPr>
            <a:xfrm>
              <a:off x="152400" y="12192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𝜎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AB1FB67-180E-4CFB-A4C8-9794C57C4836}"/>
                </a:ext>
              </a:extLst>
            </xdr:cNvPr>
            <xdr:cNvSpPr txBox="1"/>
          </xdr:nvSpPr>
          <xdr:spPr>
            <a:xfrm>
              <a:off x="152400" y="12192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)∙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_(𝜎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)≤𝜎^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𝑛−1)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𝑋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 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DBE-117E-43BF-BC43-B9CFC2E9E2CC}">
  <dimension ref="A1:D20"/>
  <sheetViews>
    <sheetView tabSelected="1" zoomScale="120" zoomScaleNormal="120" workbookViewId="0"/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9</v>
      </c>
    </row>
    <row r="10" spans="1:3" x14ac:dyDescent="0.3">
      <c r="A10" s="4" t="s">
        <v>6</v>
      </c>
      <c r="B10" s="4">
        <v>80</v>
      </c>
    </row>
    <row r="11" spans="1:3" x14ac:dyDescent="0.3">
      <c r="A11" s="4" t="s">
        <v>1</v>
      </c>
      <c r="B11" s="4">
        <v>58</v>
      </c>
      <c r="C11" t="s">
        <v>2</v>
      </c>
    </row>
    <row r="12" spans="1:3" x14ac:dyDescent="0.3">
      <c r="A12" s="4" t="s">
        <v>0</v>
      </c>
      <c r="B12" s="4">
        <v>6</v>
      </c>
      <c r="C12" t="s">
        <v>2</v>
      </c>
    </row>
    <row r="13" spans="1:3" x14ac:dyDescent="0.3">
      <c r="A13" s="4" t="s">
        <v>3</v>
      </c>
      <c r="B13" s="5">
        <v>0.95</v>
      </c>
    </row>
    <row r="14" spans="1:3" x14ac:dyDescent="0.3">
      <c r="A14" s="4" t="s">
        <v>5</v>
      </c>
      <c r="B14" s="6">
        <f>1-B13</f>
        <v>5.0000000000000044E-2</v>
      </c>
    </row>
    <row r="15" spans="1:3" x14ac:dyDescent="0.3">
      <c r="A15" s="4" t="s">
        <v>4</v>
      </c>
      <c r="B15" s="7">
        <f>_xlfn.NORM.S.INV(B13+B14/2)</f>
        <v>1.9599639845400536</v>
      </c>
    </row>
    <row r="17" spans="2:4" x14ac:dyDescent="0.3">
      <c r="B17" s="10">
        <f>_xlfn.CONFIDENCE.NORM(B14,B12,B10)</f>
        <v>1.3147838108648719</v>
      </c>
      <c r="C17" s="9" t="s">
        <v>10</v>
      </c>
    </row>
    <row r="19" spans="2:4" x14ac:dyDescent="0.3">
      <c r="B19" s="1" t="s">
        <v>7</v>
      </c>
      <c r="C19" s="1" t="s">
        <v>8</v>
      </c>
    </row>
    <row r="20" spans="2:4" x14ac:dyDescent="0.3">
      <c r="B20" s="2">
        <f>B11-B17</f>
        <v>56.685216189135126</v>
      </c>
      <c r="C20" s="2">
        <f>B11+B17</f>
        <v>59.314783810864874</v>
      </c>
      <c r="D20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7545-6A55-4D6F-874B-B7B7A9255878}">
  <dimension ref="A1:D20"/>
  <sheetViews>
    <sheetView zoomScale="120" zoomScaleNormal="120" workbookViewId="0"/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16</v>
      </c>
    </row>
    <row r="10" spans="1:3" x14ac:dyDescent="0.3">
      <c r="A10" s="4" t="s">
        <v>6</v>
      </c>
      <c r="B10" s="4">
        <v>100</v>
      </c>
    </row>
    <row r="11" spans="1:3" x14ac:dyDescent="0.3">
      <c r="A11" s="4" t="s">
        <v>1</v>
      </c>
      <c r="B11" s="4">
        <v>0.65</v>
      </c>
      <c r="C11" t="s">
        <v>12</v>
      </c>
    </row>
    <row r="12" spans="1:3" x14ac:dyDescent="0.3">
      <c r="A12" s="4" t="s">
        <v>13</v>
      </c>
      <c r="B12" s="4">
        <v>0.1</v>
      </c>
      <c r="C12" t="s">
        <v>12</v>
      </c>
    </row>
    <row r="13" spans="1:3" x14ac:dyDescent="0.3">
      <c r="A13" s="4" t="s">
        <v>3</v>
      </c>
      <c r="B13" s="5">
        <v>0.95</v>
      </c>
    </row>
    <row r="14" spans="1:3" x14ac:dyDescent="0.3">
      <c r="A14" s="4" t="s">
        <v>5</v>
      </c>
      <c r="B14" s="6">
        <f>1-B13</f>
        <v>5.0000000000000044E-2</v>
      </c>
    </row>
    <row r="15" spans="1:3" x14ac:dyDescent="0.3">
      <c r="A15" s="4" t="s">
        <v>17</v>
      </c>
      <c r="B15" s="7">
        <f>-_xlfn.T.INV(B14/2,B10-1)</f>
        <v>1.9842169515864165</v>
      </c>
    </row>
    <row r="17" spans="2:4" x14ac:dyDescent="0.3">
      <c r="B17" s="11">
        <f>_xlfn.CONFIDENCE.NORM(B14,B12,B10)</f>
        <v>1.9599639845400536E-2</v>
      </c>
      <c r="C17" s="9" t="s">
        <v>10</v>
      </c>
    </row>
    <row r="19" spans="2:4" x14ac:dyDescent="0.3">
      <c r="B19" s="1" t="s">
        <v>7</v>
      </c>
      <c r="C19" s="1" t="s">
        <v>8</v>
      </c>
    </row>
    <row r="20" spans="2:4" x14ac:dyDescent="0.3">
      <c r="B20" s="2">
        <f>B11-B17</f>
        <v>0.63040036015459944</v>
      </c>
      <c r="C20" s="2">
        <f>B11+B17</f>
        <v>0.66959963984540061</v>
      </c>
      <c r="D20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4126-A6A5-4888-989E-8B759B0F62CA}">
  <dimension ref="A1:D20"/>
  <sheetViews>
    <sheetView zoomScale="120" zoomScaleNormal="120" workbookViewId="0"/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18</v>
      </c>
    </row>
    <row r="10" spans="1:3" x14ac:dyDescent="0.3">
      <c r="A10" s="4" t="s">
        <v>6</v>
      </c>
      <c r="B10" s="4">
        <v>25</v>
      </c>
    </row>
    <row r="11" spans="1:3" x14ac:dyDescent="0.3">
      <c r="A11" s="4" t="s">
        <v>1</v>
      </c>
      <c r="B11" s="4">
        <v>58</v>
      </c>
      <c r="C11" t="s">
        <v>2</v>
      </c>
    </row>
    <row r="12" spans="1:3" x14ac:dyDescent="0.3">
      <c r="A12" s="4" t="s">
        <v>13</v>
      </c>
      <c r="B12" s="4">
        <v>6</v>
      </c>
      <c r="C12" t="s">
        <v>2</v>
      </c>
    </row>
    <row r="13" spans="1:3" x14ac:dyDescent="0.3">
      <c r="A13" s="4" t="s">
        <v>3</v>
      </c>
      <c r="B13" s="5">
        <v>0.95</v>
      </c>
    </row>
    <row r="14" spans="1:3" x14ac:dyDescent="0.3">
      <c r="A14" s="4" t="s">
        <v>5</v>
      </c>
      <c r="B14" s="6">
        <f>1-B13</f>
        <v>5.0000000000000044E-2</v>
      </c>
    </row>
    <row r="15" spans="1:3" x14ac:dyDescent="0.3">
      <c r="A15" s="4" t="s">
        <v>17</v>
      </c>
      <c r="B15" s="7">
        <f>-_xlfn.T.INV(B14/2,B10-1)</f>
        <v>2.0638985616280254</v>
      </c>
    </row>
    <row r="17" spans="2:4" x14ac:dyDescent="0.3">
      <c r="B17" s="11">
        <f>_xlfn.CONFIDENCE.T(B14,B12,B10)</f>
        <v>2.4766782739536306</v>
      </c>
      <c r="C17" s="9" t="s">
        <v>10</v>
      </c>
    </row>
    <row r="19" spans="2:4" x14ac:dyDescent="0.3">
      <c r="B19" s="1" t="s">
        <v>7</v>
      </c>
      <c r="C19" s="1" t="s">
        <v>8</v>
      </c>
    </row>
    <row r="20" spans="2:4" x14ac:dyDescent="0.3">
      <c r="B20" s="2">
        <f>B11-B17</f>
        <v>55.523321726046369</v>
      </c>
      <c r="C20" s="2">
        <f>B11+B17</f>
        <v>60.476678273953631</v>
      </c>
      <c r="D20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F138-FAC5-4B93-A203-F39317733959}">
  <dimension ref="A1:D19"/>
  <sheetViews>
    <sheetView zoomScale="120" zoomScaleNormal="120" workbookViewId="0"/>
  </sheetViews>
  <sheetFormatPr baseColWidth="10" defaultRowHeight="14.4" x14ac:dyDescent="0.3"/>
  <cols>
    <col min="1" max="1" width="15.6640625" customWidth="1"/>
  </cols>
  <sheetData>
    <row r="1" spans="1:3" x14ac:dyDescent="0.3">
      <c r="A1" s="3" t="s">
        <v>14</v>
      </c>
    </row>
    <row r="10" spans="1:3" x14ac:dyDescent="0.3">
      <c r="A10" s="4" t="s">
        <v>6</v>
      </c>
      <c r="B10" s="4">
        <v>100</v>
      </c>
    </row>
    <row r="11" spans="1:3" x14ac:dyDescent="0.3">
      <c r="A11" s="4" t="s">
        <v>15</v>
      </c>
      <c r="B11" s="4">
        <f>10/100</f>
        <v>0.1</v>
      </c>
    </row>
    <row r="12" spans="1:3" x14ac:dyDescent="0.3">
      <c r="A12" s="4" t="s">
        <v>3</v>
      </c>
      <c r="B12" s="5">
        <v>0.95</v>
      </c>
    </row>
    <row r="13" spans="1:3" x14ac:dyDescent="0.3">
      <c r="A13" s="4" t="s">
        <v>5</v>
      </c>
      <c r="B13" s="6">
        <f>1-B12</f>
        <v>5.0000000000000044E-2</v>
      </c>
    </row>
    <row r="14" spans="1:3" x14ac:dyDescent="0.3">
      <c r="A14" s="4" t="s">
        <v>4</v>
      </c>
      <c r="B14" s="7">
        <f>_xlfn.NORM.S.INV(B12+B13/2)</f>
        <v>1.9599639845400536</v>
      </c>
    </row>
    <row r="16" spans="1:3" x14ac:dyDescent="0.3">
      <c r="B16" s="11">
        <f>B14*SQRT(B11*(1-B11)/B10)</f>
        <v>5.8798919536201616E-2</v>
      </c>
      <c r="C16" s="9" t="s">
        <v>10</v>
      </c>
    </row>
    <row r="18" spans="2:4" x14ac:dyDescent="0.3">
      <c r="B18" s="1" t="s">
        <v>7</v>
      </c>
      <c r="C18" s="1" t="s">
        <v>8</v>
      </c>
    </row>
    <row r="19" spans="2:4" x14ac:dyDescent="0.3">
      <c r="B19" s="12">
        <f>B11-B16</f>
        <v>4.120108046379839E-2</v>
      </c>
      <c r="C19" s="12">
        <f>B11+B16</f>
        <v>0.15879891953620162</v>
      </c>
      <c r="D19" s="8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0042-2C89-42BD-8ADF-82FE484E6D9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IC1 Media</vt:lpstr>
      <vt:lpstr>IC2 Media</vt:lpstr>
      <vt:lpstr>IC3 Media</vt:lpstr>
      <vt:lpstr>IC4 Prop.</vt:lpstr>
      <vt:lpstr>IC5 Var.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Amado</dc:creator>
  <cp:lastModifiedBy>Ricardo Amado</cp:lastModifiedBy>
  <dcterms:created xsi:type="dcterms:W3CDTF">2022-02-26T00:13:00Z</dcterms:created>
  <dcterms:modified xsi:type="dcterms:W3CDTF">2026-03-14T00:24:30Z</dcterms:modified>
</cp:coreProperties>
</file>
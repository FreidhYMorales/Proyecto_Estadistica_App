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Educación\UMG SIS 123 Estadística II\2022\UMG 1-22 SIS Estadística II\"/>
    </mc:Choice>
  </mc:AlternateContent>
  <xr:revisionPtr revIDLastSave="0" documentId="8_{B5831BDB-78EE-47A9-8022-52F427B2A57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iVar1" sheetId="4" r:id="rId1"/>
    <sheet name="BiVar2" sheetId="6" r:id="rId2"/>
    <sheet name="MultiVar1" sheetId="5" r:id="rId3"/>
    <sheet name="MultiVar2" sheetId="9" r:id="rId4"/>
    <sheet name="MultiVar3EJ" sheetId="7" r:id="rId5"/>
    <sheet name="MultiVar4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0" i="9" l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7" i="9" l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8" i="4"/>
  <c r="A9" i="4" s="1"/>
  <c r="A10" i="4" s="1"/>
  <c r="A11" i="4" s="1"/>
  <c r="A12" i="4" s="1"/>
  <c r="A13" i="4" s="1"/>
  <c r="A14" i="4" s="1"/>
  <c r="A15" i="4" s="1"/>
</calcChain>
</file>

<file path=xl/sharedStrings.xml><?xml version="1.0" encoding="utf-8"?>
<sst xmlns="http://schemas.openxmlformats.org/spreadsheetml/2006/main" count="90" uniqueCount="74">
  <si>
    <t>Año</t>
  </si>
  <si>
    <t>Ventas</t>
  </si>
  <si>
    <t>Mes</t>
  </si>
  <si>
    <t>Unidades producidas
Producto A</t>
  </si>
  <si>
    <t>Unidades producidas
Producto B</t>
  </si>
  <si>
    <t>Unidades producidas
Producto C</t>
  </si>
  <si>
    <t>Costo mensual</t>
  </si>
  <si>
    <t>Ene-Feb</t>
  </si>
  <si>
    <t>May-Jun</t>
  </si>
  <si>
    <t>Jul-Ago</t>
  </si>
  <si>
    <t>Sep-Oct</t>
  </si>
  <si>
    <t>Mar-Abr</t>
  </si>
  <si>
    <t>Nov-Dic</t>
  </si>
  <si>
    <t>Antigüedad (años)</t>
  </si>
  <si>
    <t>Entradas</t>
  </si>
  <si>
    <t>Cantidad de oficinas</t>
  </si>
  <si>
    <t>Área mts^2</t>
  </si>
  <si>
    <t>Valor estimado</t>
  </si>
  <si>
    <t>Semana</t>
  </si>
  <si>
    <t>Contactos por messenger
(en miles)</t>
  </si>
  <si>
    <t>Publicidad en Facebook</t>
  </si>
  <si>
    <t>Ventas
(en miles)</t>
  </si>
  <si>
    <t>Publicidad
(en miles)</t>
  </si>
  <si>
    <t>Precio del producto</t>
  </si>
  <si>
    <t>Bimestre</t>
  </si>
  <si>
    <t>En una empresa se tiene el supuesto de que el número de contactos atendidos efectivamente por medio de Messenger</t>
  </si>
  <si>
    <t>Los siguientes datos representan la publicidad pagada en Facebook y las ventas realizadas bimestralmente de una empresa comercial</t>
  </si>
  <si>
    <t xml:space="preserve">Se piensa que ambas variables están correlacionadas. Verifique este supuesto y si efectivamente están correlacionadas, estime el </t>
  </si>
  <si>
    <t>pronóstico para el primer bimestre del año 2022.</t>
  </si>
  <si>
    <t>impacta directamente en las utilidades de la empresa. Los datos históricos son los siguientes. Si las variables están efectivamente</t>
  </si>
  <si>
    <t>correlacionadas, estime lo que podría ocurrir en el año 2022.</t>
  </si>
  <si>
    <t>El siguiente cuadro resume lo ocurrido con las ventas, publicidad y precio de cierto producto de una empresa durante los últimos 10 años.</t>
  </si>
  <si>
    <t>El gerente general considera que estas variables están correlacionadas. Qué podría ocurrir en el año 2022 si el gerente tiene razón?</t>
  </si>
  <si>
    <t>Trabajadores temporales
(por semana)</t>
  </si>
  <si>
    <t>Horas trabajadas por temporales
(por semana)</t>
  </si>
  <si>
    <t>En una constructora se está evaluando la posibilidad de pronósticar la planilla final de una obra en función de la cantidad de trabajadores temporales</t>
  </si>
  <si>
    <t>que se necesitan contratar por semana y el total de horas que deberán trabajar a la semana. Los datos recolectados de las últimas obras son los siguientes:</t>
  </si>
  <si>
    <t>Planilla final
(costo mano obra)
(en Q)</t>
  </si>
  <si>
    <t>La gerente de producción de una empresa está considerando desarrollar un método que le permita pronosticar rápidamente el costo mensual por producción</t>
  </si>
  <si>
    <t>en que incurrirá la empresa en función de las ventas pronósticadas de los tres productos líderes de la misma. Evalúe la posibilidad de realizar esta tarea a través</t>
  </si>
  <si>
    <t>de análisis de correlación y regresión, y estime si sería un método confiable o no de pronóstico.</t>
  </si>
  <si>
    <t>Un inversionista está aplicando análisis de correlación y regresión para valuar bienes inmuebles, en función del área de construcción, la cantidad de oficinas,</t>
  </si>
  <si>
    <t>el número de entradas y la antigüedad de los mismos. Verifique la correlación que existe entre estas variables y establezca si el sistema de valuación del</t>
  </si>
  <si>
    <t>inversionista es o no confiable.</t>
  </si>
  <si>
    <t>Utilidad
(en cientos de miles)</t>
  </si>
  <si>
    <t>x</t>
  </si>
  <si>
    <t>y</t>
  </si>
  <si>
    <t>x1</t>
  </si>
  <si>
    <t>x2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</si>
  <si>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</si>
  <si>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</si>
  <si>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</si>
  <si>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</si>
  <si>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</si>
  <si>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</si>
  <si>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</si>
  <si>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</si>
  <si>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</si>
  <si>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</si>
  <si>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</si>
  <si>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</si>
  <si>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</si>
  <si>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</si>
  <si>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</si>
  <si>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</si>
  <si>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</si>
  <si>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</si>
  <si>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</si>
  <si>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</si>
  <si>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</si>
  <si>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</si>
  <si>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</si>
  <si>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</si>
  <si>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Publicidad (en 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</si>
</sst>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Q&quot;* #,##0.00_-;\-&quot;Q&quot;* #,##0.00_-;_-&quot;Q&quot;* &quot;-&quot;??_-;_-@_-"/>
    <numFmt numFmtId="165" formatCode="_(&quot;Q&quot;* #,##0.00_);_(&quot;Q&quot;* \(#,##0.00\);_(&quot;Q&quot;* &quot;-&quot;??_);_(@_)"/>
    <numFmt numFmtId="166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Font="1" applyBorder="1" applyAlignment="1">
      <alignment horizontal="center"/>
    </xf>
    <xf numFmtId="0" fontId="0" fillId="0" borderId="0" xfId="0" applyBorder="1"/>
    <xf numFmtId="165" fontId="0" fillId="0" borderId="1" xfId="1" applyFont="1" applyBorder="1"/>
    <xf numFmtId="165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5" fontId="0" fillId="3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2" fillId="3" borderId="1" xfId="1" applyFont="1" applyFill="1" applyBorder="1" applyAlignment="1">
      <alignment horizontal="center"/>
    </xf>
    <xf numFmtId="165" fontId="2" fillId="3" borderId="1" xfId="1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/>
      <protection locked="0"/>
    </xf>
    <xf numFmtId="165" fontId="0" fillId="3" borderId="1" xfId="1" applyFont="1" applyFill="1" applyBorder="1" applyProtection="1">
      <protection locked="0"/>
    </xf>
    <xf numFmtId="165" fontId="0" fillId="3" borderId="1" xfId="1" applyFont="1" applyFill="1" applyBorder="1" applyAlignment="1" applyProtection="1">
      <alignment horizontal="center"/>
      <protection locked="0"/>
    </xf>
    <xf numFmtId="165" fontId="0" fillId="0" borderId="0" xfId="1" applyFont="1"/>
    <xf numFmtId="166" fontId="0" fillId="0" borderId="0" xfId="0" applyNumberFormat="1" applyAlignment="1">
      <alignment horizontal="center"/>
    </xf>
    <xf numFmtId="164" fontId="0" fillId="0" borderId="0" xfId="0" applyNumberFormat="1"/>
    <xf numFmtId="10" fontId="0" fillId="0" borderId="0" xfId="2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165" fontId="3" fillId="0" borderId="1" xfId="1" applyFon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0" fillId="3" borderId="0" xfId="0" applyFill="1" applyBorder="1" applyAlignment="1"/>
    <xf numFmtId="166" fontId="0" fillId="3" borderId="0" xfId="0" applyNumberFormat="1" applyFill="1" applyBorder="1" applyAlignment="1"/>
    <xf numFmtId="166" fontId="0" fillId="0" borderId="0" xfId="0" applyNumberFormat="1" applyFill="1" applyBorder="1" applyAlignment="1"/>
    <xf numFmtId="0" fontId="0" fillId="3" borderId="0" xfId="0" applyFill="1" applyBorder="1" applyAlignment="1">
      <alignment wrapText="1"/>
    </xf>
    <xf numFmtId="0" fontId="0" fillId="3" borderId="2" xfId="0" applyFill="1" applyBorder="1" applyAlignment="1"/>
    <xf numFmtId="0" fontId="4" fillId="3" borderId="3" xfId="0" applyFont="1" applyFill="1" applyBorder="1" applyAlignment="1">
      <alignment horizontal="center"/>
    </xf>
    <xf numFmtId="10" fontId="0" fillId="3" borderId="0" xfId="2" applyNumberFormat="1" applyFont="1" applyFill="1" applyBorder="1" applyAlignment="1"/>
    <xf numFmtId="10" fontId="3" fillId="3" borderId="2" xfId="2" applyNumberFormat="1" applyFont="1" applyFill="1" applyBorder="1" applyAlignment="1"/>
    <xf numFmtId="10" fontId="0" fillId="0" borderId="0" xfId="2" applyNumberFormat="1" applyFont="1" applyFill="1" applyBorder="1" applyAlignment="1"/>
    <xf numFmtId="165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BiVar1!$C$6</c:f>
              <c:strCache>
                <c:ptCount val="1"/>
                <c:pt idx="0">
                  <c:v>Utilidad
(en cientos de miles)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8121828521434817E-2"/>
                  <c:y val="4.0833333333333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BiVar1!$B$7:$B$14</c:f>
              <c:numCache>
                <c:formatCode>General</c:formatCod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12</c:v>
                </c:pt>
                <c:pt idx="4">
                  <c:v>14</c:v>
                </c:pt>
                <c:pt idx="5">
                  <c:v>20</c:v>
                </c:pt>
                <c:pt idx="6">
                  <c:v>15</c:v>
                </c:pt>
                <c:pt idx="7">
                  <c:v>12</c:v>
                </c:pt>
              </c:numCache>
            </c:numRef>
          </c:xVal>
          <c:yVal>
            <c:numRef>
              <c:f>BiVar1!$C$7:$C$14</c:f>
              <c:numCache>
                <c:formatCode>_("Q"* #,##0.00_);_("Q"* \(#,##0.00\);_("Q"* "-"??_);_(@_)</c:formatCode>
                <c:ptCount val="8"/>
                <c:pt idx="0">
                  <c:v>25</c:v>
                </c:pt>
                <c:pt idx="1">
                  <c:v>27</c:v>
                </c:pt>
                <c:pt idx="2">
                  <c:v>24</c:v>
                </c:pt>
                <c:pt idx="3">
                  <c:v>20</c:v>
                </c:pt>
                <c:pt idx="4">
                  <c:v>27</c:v>
                </c:pt>
                <c:pt idx="5">
                  <c:v>44</c:v>
                </c:pt>
                <c:pt idx="6">
                  <c:v>34</c:v>
                </c:pt>
                <c:pt idx="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77-4A68-83BB-ED495D2B8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840344"/>
        <c:axId val="619842312"/>
      </c:scatterChart>
      <c:valAx>
        <c:axId val="61984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9842312"/>
        <c:crosses val="autoZero"/>
        <c:crossBetween val="midCat"/>
      </c:valAx>
      <c:valAx>
        <c:axId val="61984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Q&quot;* #,##0.00_);_(&quot;Q&quot;* \(#,##0.00\);_(&quot;Q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984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BiVar1!$C$6</c:f>
              <c:strCache>
                <c:ptCount val="1"/>
                <c:pt idx="0">
                  <c:v>Utilidad
(en cientos de miles)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4.8121828521434817E-2"/>
                  <c:y val="4.0833333333333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BiVar1!$B$7:$B$14</c:f>
              <c:numCache>
                <c:formatCode>General</c:formatCod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12</c:v>
                </c:pt>
                <c:pt idx="4">
                  <c:v>14</c:v>
                </c:pt>
                <c:pt idx="5">
                  <c:v>20</c:v>
                </c:pt>
                <c:pt idx="6">
                  <c:v>15</c:v>
                </c:pt>
                <c:pt idx="7">
                  <c:v>12</c:v>
                </c:pt>
              </c:numCache>
            </c:numRef>
          </c:xVal>
          <c:yVal>
            <c:numRef>
              <c:f>BiVar1!$C$7:$C$14</c:f>
              <c:numCache>
                <c:formatCode>_("Q"* #,##0.00_);_("Q"* \(#,##0.00\);_("Q"* "-"??_);_(@_)</c:formatCode>
                <c:ptCount val="8"/>
                <c:pt idx="0">
                  <c:v>25</c:v>
                </c:pt>
                <c:pt idx="1">
                  <c:v>27</c:v>
                </c:pt>
                <c:pt idx="2">
                  <c:v>24</c:v>
                </c:pt>
                <c:pt idx="3">
                  <c:v>20</c:v>
                </c:pt>
                <c:pt idx="4">
                  <c:v>27</c:v>
                </c:pt>
                <c:pt idx="5">
                  <c:v>44</c:v>
                </c:pt>
                <c:pt idx="6">
                  <c:v>34</c:v>
                </c:pt>
                <c:pt idx="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77-4A68-83BB-ED495D2B8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840344"/>
        <c:axId val="619842312"/>
      </c:scatterChart>
      <c:valAx>
        <c:axId val="61984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9842312"/>
        <c:crosses val="autoZero"/>
        <c:crossBetween val="midCat"/>
      </c:valAx>
      <c:valAx>
        <c:axId val="61984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Q&quot;* #,##0.00_);_(&quot;Q&quot;* \(#,##0.00\);_(&quot;Q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984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643759</xdr:colOff>
      <xdr:row>4</xdr:row>
      <xdr:rowOff>82604</xdr:rowOff>
    </xdr:from>
    <xdr:to>
      <xdr:col>10</xdr:col>
      <xdr:colOff>643759</xdr:colOff>
      <xdr:row>16</xdr:row>
      <xdr:rowOff>158804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670425-9F23-42D7-A26D-9EF6611FE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643759</xdr:colOff>
      <xdr:row>17</xdr:row>
      <xdr:rowOff>159994</xdr:rowOff>
    </xdr:from>
    <xdr:to>
      <xdr:col>10</xdr:col>
      <xdr:colOff>643759</xdr:colOff>
      <xdr:row>32</xdr:row>
      <xdr:rowOff>45694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0F818F-CCF5-4407-97FD-04CAE0A08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tabSelected="1" zoomScaleNormal="100" workbookViewId="0">
      <selection activeCell="C15" sqref="C15"/>
    </sheetView>
  </sheetViews>
  <sheetFormatPr baseColWidth="10" defaultRowHeight="15" x14ac:dyDescent="0.25"/>
  <cols>
    <col min="1" max="1" width="10.7109375" customWidth="1"/>
    <col min="2" max="3" width="15.7109375" customWidth="1"/>
  </cols>
  <sheetData>
    <row r="1" spans="1:4" x14ac:dyDescent="0.25">
      <c r="A1" t="s">
        <v>25</v>
      </c>
    </row>
    <row r="2" spans="1:4" x14ac:dyDescent="0.25">
      <c r="A2" t="s">
        <v>29</v>
      </c>
    </row>
    <row r="3" spans="1:4" x14ac:dyDescent="0.25">
      <c r="A3" t="s">
        <v>30</v>
      </c>
    </row>
    <row r="5" spans="1:4" x14ac:dyDescent="0.25">
      <c r="B5" s="9" t="s">
        <v>45</v>
      </c>
      <c r="C5" s="9" t="s">
        <v>46</v>
      </c>
    </row>
    <row r="6" spans="1:4" ht="45" x14ac:dyDescent="0.25">
      <c r="A6" s="7" t="s">
        <v>0</v>
      </c>
      <c r="B6" s="7" t="s">
        <v>19</v>
      </c>
      <c r="C6" s="7" t="s">
        <v>44</v>
      </c>
    </row>
    <row r="7" spans="1:4" x14ac:dyDescent="0.25">
      <c r="A7" s="1">
        <v>2014</v>
      </c>
      <c r="B7" s="1">
        <v>14</v>
      </c>
      <c r="C7" s="2">
        <v>25</v>
      </c>
      <c r="D7" s="22"/>
    </row>
    <row r="8" spans="1:4" x14ac:dyDescent="0.25">
      <c r="A8" s="1">
        <f t="shared" ref="A8:A14" si="0">A7+1</f>
        <v>2015</v>
      </c>
      <c r="B8" s="1">
        <v>15</v>
      </c>
      <c r="C8" s="2">
        <v>27</v>
      </c>
      <c r="D8" s="22"/>
    </row>
    <row r="9" spans="1:4" x14ac:dyDescent="0.25">
      <c r="A9" s="1">
        <f t="shared" si="0"/>
        <v>2016</v>
      </c>
      <c r="B9" s="1">
        <v>16</v>
      </c>
      <c r="C9" s="2">
        <v>24</v>
      </c>
      <c r="D9" s="22"/>
    </row>
    <row r="10" spans="1:4" x14ac:dyDescent="0.25">
      <c r="A10" s="1">
        <f t="shared" si="0"/>
        <v>2017</v>
      </c>
      <c r="B10" s="1">
        <v>12</v>
      </c>
      <c r="C10" s="2">
        <v>20</v>
      </c>
      <c r="D10" s="22"/>
    </row>
    <row r="11" spans="1:4" x14ac:dyDescent="0.25">
      <c r="A11" s="1">
        <f t="shared" si="0"/>
        <v>2018</v>
      </c>
      <c r="B11" s="1">
        <v>14</v>
      </c>
      <c r="C11" s="2">
        <v>27</v>
      </c>
      <c r="D11" s="22"/>
    </row>
    <row r="12" spans="1:4" x14ac:dyDescent="0.25">
      <c r="A12" s="1">
        <f t="shared" si="0"/>
        <v>2019</v>
      </c>
      <c r="B12" s="1">
        <v>20</v>
      </c>
      <c r="C12" s="2">
        <v>44</v>
      </c>
      <c r="D12" s="22"/>
    </row>
    <row r="13" spans="1:4" x14ac:dyDescent="0.25">
      <c r="A13" s="1">
        <f t="shared" si="0"/>
        <v>2020</v>
      </c>
      <c r="B13" s="1">
        <v>15</v>
      </c>
      <c r="C13" s="2">
        <v>34</v>
      </c>
      <c r="D13" s="22"/>
    </row>
    <row r="14" spans="1:4" x14ac:dyDescent="0.25">
      <c r="A14" s="24">
        <f t="shared" si="0"/>
        <v>2021</v>
      </c>
      <c r="B14" s="24">
        <v>12</v>
      </c>
      <c r="C14" s="25">
        <v>17</v>
      </c>
      <c r="D14" s="22"/>
    </row>
    <row r="15" spans="1:4" x14ac:dyDescent="0.25">
      <c r="A15" s="13">
        <f>A14+1</f>
        <v>2022</v>
      </c>
      <c r="B15" s="17">
        <v>18</v>
      </c>
      <c r="C15" s="14"/>
      <c r="D15" s="23"/>
    </row>
    <row r="16" spans="1:4" x14ac:dyDescent="0.25">
      <c r="A16" s="13">
        <v>2022</v>
      </c>
      <c r="B16" s="17">
        <v>18</v>
      </c>
      <c r="C16" s="14"/>
      <c r="D16" s="23"/>
    </row>
    <row r="17" spans="1:3" x14ac:dyDescent="0.25">
      <c r="C17" s="21"/>
    </row>
    <row r="18" spans="1:3" x14ac:dyDescent="0.25">
      <c r="A18" s="8"/>
      <c r="C18" s="3"/>
    </row>
    <row r="19" spans="1:3" x14ac:dyDescent="0.25">
      <c r="A19" s="8"/>
      <c r="C19" s="8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zoomScaleNormal="100" workbookViewId="0"/>
  </sheetViews>
  <sheetFormatPr baseColWidth="10" defaultRowHeight="15" x14ac:dyDescent="0.25"/>
  <cols>
    <col min="1" max="2" width="10.7109375" customWidth="1"/>
    <col min="3" max="4" width="15.7109375" customWidth="1"/>
  </cols>
  <sheetData>
    <row r="1" spans="1:4" x14ac:dyDescent="0.25">
      <c r="A1" t="s">
        <v>26</v>
      </c>
    </row>
    <row r="2" spans="1:4" x14ac:dyDescent="0.25">
      <c r="A2" t="s">
        <v>27</v>
      </c>
    </row>
    <row r="3" spans="1:4" x14ac:dyDescent="0.25">
      <c r="A3" t="s">
        <v>28</v>
      </c>
    </row>
    <row r="5" spans="1:4" x14ac:dyDescent="0.25">
      <c r="C5" s="9" t="s">
        <v>45</v>
      </c>
      <c r="D5" s="9" t="s">
        <v>46</v>
      </c>
    </row>
    <row r="6" spans="1:4" ht="30" x14ac:dyDescent="0.25">
      <c r="A6" s="10" t="s">
        <v>0</v>
      </c>
      <c r="B6" s="10" t="s">
        <v>24</v>
      </c>
      <c r="C6" s="7" t="s">
        <v>20</v>
      </c>
      <c r="D6" s="11" t="s">
        <v>1</v>
      </c>
    </row>
    <row r="7" spans="1:4" x14ac:dyDescent="0.25">
      <c r="A7" s="1">
        <v>2021</v>
      </c>
      <c r="B7" s="1" t="s">
        <v>7</v>
      </c>
      <c r="C7" s="4">
        <v>4000</v>
      </c>
      <c r="D7" s="4">
        <v>22000</v>
      </c>
    </row>
    <row r="8" spans="1:4" x14ac:dyDescent="0.25">
      <c r="A8" s="1">
        <v>2021</v>
      </c>
      <c r="B8" s="1" t="s">
        <v>11</v>
      </c>
      <c r="C8" s="4">
        <v>4200</v>
      </c>
      <c r="D8" s="4">
        <v>23000</v>
      </c>
    </row>
    <row r="9" spans="1:4" x14ac:dyDescent="0.25">
      <c r="A9" s="1">
        <v>2021</v>
      </c>
      <c r="B9" s="1" t="s">
        <v>8</v>
      </c>
      <c r="C9" s="4">
        <v>4400</v>
      </c>
      <c r="D9" s="4">
        <v>25000</v>
      </c>
    </row>
    <row r="10" spans="1:4" x14ac:dyDescent="0.25">
      <c r="A10" s="1">
        <v>2021</v>
      </c>
      <c r="B10" s="1" t="s">
        <v>9</v>
      </c>
      <c r="C10" s="4">
        <v>4600</v>
      </c>
      <c r="D10" s="4">
        <v>25000</v>
      </c>
    </row>
    <row r="11" spans="1:4" x14ac:dyDescent="0.25">
      <c r="A11" s="1">
        <v>2021</v>
      </c>
      <c r="B11" s="1" t="s">
        <v>10</v>
      </c>
      <c r="C11" s="4">
        <v>4800</v>
      </c>
      <c r="D11" s="4">
        <v>28000</v>
      </c>
    </row>
    <row r="12" spans="1:4" x14ac:dyDescent="0.25">
      <c r="A12" s="1">
        <v>2021</v>
      </c>
      <c r="B12" s="1" t="s">
        <v>12</v>
      </c>
      <c r="C12" s="4">
        <v>5000</v>
      </c>
      <c r="D12" s="4">
        <v>29000</v>
      </c>
    </row>
    <row r="13" spans="1:4" x14ac:dyDescent="0.25">
      <c r="A13" s="13">
        <v>2022</v>
      </c>
      <c r="B13" s="13" t="s">
        <v>7</v>
      </c>
      <c r="C13" s="18"/>
      <c r="D1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showGridLines="0" zoomScaleNormal="100" workbookViewId="0">
      <selection activeCell="B16" sqref="B16"/>
    </sheetView>
  </sheetViews>
  <sheetFormatPr baseColWidth="10" defaultRowHeight="15" x14ac:dyDescent="0.25"/>
  <cols>
    <col min="1" max="1" width="10.7109375" customWidth="1"/>
    <col min="2" max="4" width="15.7109375" customWidth="1"/>
    <col min="6" max="6" width="32.85546875" bestFit="1" customWidth="1"/>
  </cols>
  <sheetData>
    <row r="1" spans="1:11" x14ac:dyDescent="0.25">
      <c r="A1" t="s">
        <v>31</v>
      </c>
    </row>
    <row r="2" spans="1:11" x14ac:dyDescent="0.25">
      <c r="A2" t="s">
        <v>32</v>
      </c>
    </row>
    <row r="4" spans="1:11" x14ac:dyDescent="0.25">
      <c r="B4" s="9" t="s">
        <v>46</v>
      </c>
      <c r="C4" s="9" t="s">
        <v>47</v>
      </c>
      <c r="D4" s="9" t="s">
        <v>48</v>
      </c>
    </row>
    <row r="5" spans="1:11" ht="30" x14ac:dyDescent="0.25">
      <c r="A5" s="11" t="s">
        <v>0</v>
      </c>
      <c r="B5" s="7" t="s">
        <v>21</v>
      </c>
      <c r="C5" s="7" t="s">
        <v>22</v>
      </c>
      <c r="D5" s="7" t="s">
        <v>23</v>
      </c>
      <c r="F5" t="s">
        <v>49</v>
      </c>
    </row>
    <row r="6" spans="1:11" ht="15.75" thickBot="1" x14ac:dyDescent="0.3">
      <c r="A6" s="1">
        <v>2012</v>
      </c>
      <c r="B6" s="2">
        <v>12000</v>
      </c>
      <c r="C6" s="2">
        <v>8</v>
      </c>
      <c r="D6" s="2">
        <v>100</v>
      </c>
    </row>
    <row r="7" spans="1:11" x14ac:dyDescent="0.25">
      <c r="A7" s="1">
        <f>A6+1</f>
        <v>2013</v>
      </c>
      <c r="B7" s="2">
        <v>11500</v>
      </c>
      <c r="C7" s="2">
        <v>9</v>
      </c>
      <c r="D7" s="2">
        <v>102</v>
      </c>
      <c r="F7" s="29" t="s">
        <v>50</v>
      </c>
      <c r="G7" s="29"/>
    </row>
    <row r="8" spans="1:11" x14ac:dyDescent="0.25">
      <c r="A8" s="1">
        <f t="shared" ref="A8:A15" si="0">A7+1</f>
        <v>2014</v>
      </c>
      <c r="B8" s="2">
        <v>13000</v>
      </c>
      <c r="C8" s="2">
        <v>10</v>
      </c>
      <c r="D8" s="2">
        <v>95</v>
      </c>
      <c r="F8" s="30" t="s">
        <v>51</v>
      </c>
      <c r="G8" s="31">
        <v>0.97133596266285049</v>
      </c>
    </row>
    <row r="9" spans="1:11" x14ac:dyDescent="0.25">
      <c r="A9" s="1">
        <f t="shared" si="0"/>
        <v>2015</v>
      </c>
      <c r="B9" s="2">
        <v>14200</v>
      </c>
      <c r="C9" s="2">
        <v>14</v>
      </c>
      <c r="D9" s="2">
        <v>90</v>
      </c>
      <c r="F9" s="26" t="s">
        <v>52</v>
      </c>
      <c r="G9" s="32">
        <v>0.94349355236216648</v>
      </c>
    </row>
    <row r="10" spans="1:11" x14ac:dyDescent="0.25">
      <c r="A10" s="1">
        <f t="shared" si="0"/>
        <v>2016</v>
      </c>
      <c r="B10" s="2">
        <v>14800</v>
      </c>
      <c r="C10" s="2">
        <v>12</v>
      </c>
      <c r="D10" s="2">
        <v>92</v>
      </c>
      <c r="F10" s="26" t="s">
        <v>53</v>
      </c>
      <c r="G10" s="32">
        <v>0.92734885303707115</v>
      </c>
    </row>
    <row r="11" spans="1:11" x14ac:dyDescent="0.25">
      <c r="A11" s="1">
        <f t="shared" si="0"/>
        <v>2017</v>
      </c>
      <c r="B11" s="2">
        <v>14400</v>
      </c>
      <c r="C11" s="2">
        <v>16</v>
      </c>
      <c r="D11" s="2">
        <v>94</v>
      </c>
      <c r="F11" s="26" t="s">
        <v>54</v>
      </c>
      <c r="G11" s="32">
        <v>598.33154286258855</v>
      </c>
    </row>
    <row r="12" spans="1:11" ht="15.75" thickBot="1" x14ac:dyDescent="0.3">
      <c r="A12" s="1">
        <f t="shared" si="0"/>
        <v>2018</v>
      </c>
      <c r="B12" s="2">
        <v>16500</v>
      </c>
      <c r="C12" s="2">
        <v>20</v>
      </c>
      <c r="D12" s="2">
        <v>88</v>
      </c>
      <c r="F12" s="27" t="s">
        <v>55</v>
      </c>
      <c r="G12" s="27">
        <v>10</v>
      </c>
    </row>
    <row r="13" spans="1:11" x14ac:dyDescent="0.25">
      <c r="A13" s="1">
        <f t="shared" si="0"/>
        <v>2019</v>
      </c>
      <c r="B13" s="2">
        <v>16000</v>
      </c>
      <c r="C13" s="2">
        <v>22</v>
      </c>
      <c r="D13" s="2">
        <v>86</v>
      </c>
    </row>
    <row r="14" spans="1:11" ht="15.75" thickBot="1" x14ac:dyDescent="0.3">
      <c r="A14" s="1">
        <f t="shared" si="0"/>
        <v>2020</v>
      </c>
      <c r="B14" s="2">
        <v>17500</v>
      </c>
      <c r="C14" s="2">
        <v>26</v>
      </c>
      <c r="D14" s="2">
        <v>90</v>
      </c>
      <c r="F14" t="s">
        <v>56</v>
      </c>
    </row>
    <row r="15" spans="1:11" x14ac:dyDescent="0.25">
      <c r="A15" s="1">
        <f t="shared" si="0"/>
        <v>2021</v>
      </c>
      <c r="B15" s="2">
        <v>18000</v>
      </c>
      <c r="C15" s="2">
        <v>24</v>
      </c>
      <c r="D15" s="2">
        <v>86</v>
      </c>
      <c r="F15" s="28"/>
      <c r="G15" s="28" t="s">
        <v>61</v>
      </c>
      <c r="H15" s="28" t="s">
        <v>62</v>
      </c>
      <c r="I15" s="28" t="s">
        <v>63</v>
      </c>
      <c r="J15" s="28" t="s">
        <v>64</v>
      </c>
      <c r="K15" s="28" t="s">
        <v>65</v>
      </c>
    </row>
    <row r="16" spans="1:11" x14ac:dyDescent="0.25">
      <c r="A16" s="13">
        <f>A15+1</f>
        <v>2022</v>
      </c>
      <c r="B16" s="14"/>
      <c r="C16" s="19">
        <v>25</v>
      </c>
      <c r="D16" s="12">
        <v>85</v>
      </c>
      <c r="F16" s="26" t="s">
        <v>57</v>
      </c>
      <c r="G16" s="26">
        <v>2</v>
      </c>
      <c r="H16" s="26">
        <v>41842995.553709723</v>
      </c>
      <c r="I16" s="26">
        <v>20921497.776854862</v>
      </c>
      <c r="J16" s="26">
        <v>58.439834236838429</v>
      </c>
      <c r="K16" s="26">
        <v>4.2888713531018301E-5</v>
      </c>
    </row>
    <row r="17" spans="2:14" x14ac:dyDescent="0.25">
      <c r="B17" s="20"/>
      <c r="F17" s="26" t="s">
        <v>58</v>
      </c>
      <c r="G17" s="26">
        <v>7</v>
      </c>
      <c r="H17" s="26">
        <v>2506004.4462902797</v>
      </c>
      <c r="I17" s="26">
        <v>358000.63518432569</v>
      </c>
      <c r="J17" s="26"/>
      <c r="K17" s="26"/>
    </row>
    <row r="18" spans="2:14" ht="15.75" thickBot="1" x14ac:dyDescent="0.3">
      <c r="F18" s="27" t="s">
        <v>59</v>
      </c>
      <c r="G18" s="27">
        <v>9</v>
      </c>
      <c r="H18" s="27">
        <v>44349000</v>
      </c>
      <c r="I18" s="27"/>
      <c r="J18" s="27"/>
      <c r="K18" s="27"/>
    </row>
    <row r="19" spans="2:14" ht="15.75" thickBot="1" x14ac:dyDescent="0.3"/>
    <row r="20" spans="2:14" x14ac:dyDescent="0.25">
      <c r="F20" s="28"/>
      <c r="G20" s="35" t="s">
        <v>66</v>
      </c>
      <c r="H20" s="28" t="s">
        <v>54</v>
      </c>
      <c r="I20" s="28" t="s">
        <v>67</v>
      </c>
      <c r="J20" s="35" t="s">
        <v>68</v>
      </c>
      <c r="K20" s="28" t="s">
        <v>69</v>
      </c>
      <c r="L20" s="28" t="s">
        <v>70</v>
      </c>
      <c r="M20" s="28" t="s">
        <v>71</v>
      </c>
      <c r="N20" s="28" t="s">
        <v>72</v>
      </c>
    </row>
    <row r="21" spans="2:14" x14ac:dyDescent="0.25">
      <c r="F21" s="30" t="s">
        <v>60</v>
      </c>
      <c r="G21" s="30">
        <v>24756.750054967877</v>
      </c>
      <c r="H21" s="26">
        <v>6735.9527273647454</v>
      </c>
      <c r="I21" s="26">
        <v>3.6753152904998592</v>
      </c>
      <c r="J21" s="38">
        <v>7.9084785347488112E-3</v>
      </c>
      <c r="K21" s="26">
        <v>8828.7528782586378</v>
      </c>
      <c r="L21" s="26">
        <v>40684.747231677116</v>
      </c>
      <c r="M21" s="26">
        <v>8828.7528782586378</v>
      </c>
      <c r="N21" s="26">
        <v>40684.747231677116</v>
      </c>
    </row>
    <row r="22" spans="2:14" x14ac:dyDescent="0.25">
      <c r="F22" s="33" t="s">
        <v>73</v>
      </c>
      <c r="G22" s="30">
        <v>220.3808662936994</v>
      </c>
      <c r="H22" s="26">
        <v>54.541162238955792</v>
      </c>
      <c r="I22" s="26">
        <v>4.0406338487648386</v>
      </c>
      <c r="J22" s="36">
        <v>4.9289091194336335E-3</v>
      </c>
      <c r="K22" s="26">
        <v>91.411511353407889</v>
      </c>
      <c r="L22" s="26">
        <v>349.35022123399091</v>
      </c>
      <c r="M22" s="26">
        <v>91.411511353407889</v>
      </c>
      <c r="N22" s="26">
        <v>349.35022123399091</v>
      </c>
    </row>
    <row r="23" spans="2:14" ht="15.75" thickBot="1" x14ac:dyDescent="0.3">
      <c r="F23" s="34" t="s">
        <v>23</v>
      </c>
      <c r="G23" s="34">
        <v>-146.42342364351504</v>
      </c>
      <c r="H23" s="27">
        <v>64.868532466537431</v>
      </c>
      <c r="I23" s="27">
        <v>-2.2572334855740395</v>
      </c>
      <c r="J23" s="37">
        <v>5.8569871985335892E-2</v>
      </c>
      <c r="K23" s="27">
        <v>-299.81312867912334</v>
      </c>
      <c r="L23" s="27">
        <v>6.9662813920932933</v>
      </c>
      <c r="M23" s="27">
        <v>-299.81312867912334</v>
      </c>
      <c r="N23" s="27">
        <v>6.9662813920932933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24E4-C0DC-4903-AFA7-319FE6FB4CCC}">
  <dimension ref="A1:D40"/>
  <sheetViews>
    <sheetView showGridLines="0" zoomScaleNormal="100" workbookViewId="0">
      <selection activeCell="E27" sqref="E27"/>
    </sheetView>
  </sheetViews>
  <sheetFormatPr baseColWidth="10" defaultRowHeight="15" x14ac:dyDescent="0.25"/>
  <cols>
    <col min="1" max="1" width="10.7109375" customWidth="1"/>
    <col min="2" max="4" width="20.7109375" customWidth="1"/>
  </cols>
  <sheetData>
    <row r="1" spans="1:4" x14ac:dyDescent="0.25">
      <c r="A1" t="s">
        <v>35</v>
      </c>
    </row>
    <row r="2" spans="1:4" x14ac:dyDescent="0.25">
      <c r="A2" t="s">
        <v>36</v>
      </c>
    </row>
    <row r="4" spans="1:4" x14ac:dyDescent="0.25">
      <c r="B4" s="9" t="s">
        <v>47</v>
      </c>
      <c r="C4" s="9" t="s">
        <v>48</v>
      </c>
      <c r="D4" s="9" t="s">
        <v>46</v>
      </c>
    </row>
    <row r="5" spans="1:4" ht="45" x14ac:dyDescent="0.25">
      <c r="A5" s="11" t="s">
        <v>18</v>
      </c>
      <c r="B5" s="7" t="s">
        <v>33</v>
      </c>
      <c r="C5" s="7" t="s">
        <v>34</v>
      </c>
      <c r="D5" s="7" t="s">
        <v>37</v>
      </c>
    </row>
    <row r="6" spans="1:4" x14ac:dyDescent="0.25">
      <c r="A6" s="1">
        <v>1</v>
      </c>
      <c r="B6" s="1">
        <v>14</v>
      </c>
      <c r="C6" s="1">
        <v>490</v>
      </c>
      <c r="D6" s="2">
        <v>18511</v>
      </c>
    </row>
    <row r="7" spans="1:4" x14ac:dyDescent="0.25">
      <c r="A7" s="1">
        <f>A6+1</f>
        <v>2</v>
      </c>
      <c r="B7" s="1">
        <v>12</v>
      </c>
      <c r="C7" s="1">
        <v>420</v>
      </c>
      <c r="D7" s="2">
        <v>15920</v>
      </c>
    </row>
    <row r="8" spans="1:4" x14ac:dyDescent="0.25">
      <c r="A8" s="1">
        <f t="shared" ref="A8:A17" si="0">A7+1</f>
        <v>3</v>
      </c>
      <c r="B8" s="1">
        <v>10</v>
      </c>
      <c r="C8" s="1">
        <v>330</v>
      </c>
      <c r="D8" s="2">
        <v>12233</v>
      </c>
    </row>
    <row r="9" spans="1:4" x14ac:dyDescent="0.25">
      <c r="A9" s="1">
        <f t="shared" si="0"/>
        <v>4</v>
      </c>
      <c r="B9" s="1">
        <v>13</v>
      </c>
      <c r="C9" s="1">
        <v>442</v>
      </c>
      <c r="D9" s="2">
        <v>18111</v>
      </c>
    </row>
    <row r="10" spans="1:4" x14ac:dyDescent="0.25">
      <c r="A10" s="1">
        <f t="shared" si="0"/>
        <v>5</v>
      </c>
      <c r="B10" s="1">
        <v>12</v>
      </c>
      <c r="C10" s="1">
        <v>360</v>
      </c>
      <c r="D10" s="2">
        <v>14991</v>
      </c>
    </row>
    <row r="11" spans="1:4" x14ac:dyDescent="0.25">
      <c r="A11" s="1">
        <f t="shared" si="0"/>
        <v>6</v>
      </c>
      <c r="B11" s="1">
        <v>12</v>
      </c>
      <c r="C11" s="1">
        <v>372</v>
      </c>
      <c r="D11" s="2">
        <v>15972</v>
      </c>
    </row>
    <row r="12" spans="1:4" x14ac:dyDescent="0.25">
      <c r="A12" s="1">
        <f t="shared" si="0"/>
        <v>7</v>
      </c>
      <c r="B12" s="1">
        <v>13</v>
      </c>
      <c r="C12" s="1">
        <v>416</v>
      </c>
      <c r="D12" s="2">
        <v>18968</v>
      </c>
    </row>
    <row r="13" spans="1:4" x14ac:dyDescent="0.25">
      <c r="A13" s="1">
        <f t="shared" si="0"/>
        <v>8</v>
      </c>
      <c r="B13" s="1">
        <v>15</v>
      </c>
      <c r="C13" s="1">
        <v>495</v>
      </c>
      <c r="D13" s="2">
        <v>19897</v>
      </c>
    </row>
    <row r="14" spans="1:4" x14ac:dyDescent="0.25">
      <c r="A14" s="1">
        <f t="shared" si="0"/>
        <v>9</v>
      </c>
      <c r="B14" s="1">
        <v>12</v>
      </c>
      <c r="C14" s="1">
        <v>408</v>
      </c>
      <c r="D14" s="2">
        <v>15763</v>
      </c>
    </row>
    <row r="15" spans="1:4" x14ac:dyDescent="0.25">
      <c r="A15" s="1">
        <f t="shared" si="0"/>
        <v>10</v>
      </c>
      <c r="B15" s="1">
        <v>12</v>
      </c>
      <c r="C15" s="1">
        <v>372</v>
      </c>
      <c r="D15" s="2">
        <v>15884</v>
      </c>
    </row>
    <row r="16" spans="1:4" x14ac:dyDescent="0.25">
      <c r="A16" s="1">
        <f t="shared" si="0"/>
        <v>11</v>
      </c>
      <c r="B16" s="1">
        <v>10</v>
      </c>
      <c r="C16" s="1">
        <v>320</v>
      </c>
      <c r="D16" s="2">
        <v>13148</v>
      </c>
    </row>
    <row r="17" spans="1:4" x14ac:dyDescent="0.25">
      <c r="A17" s="13">
        <f t="shared" si="0"/>
        <v>12</v>
      </c>
      <c r="B17" s="17">
        <v>15</v>
      </c>
      <c r="C17" s="17">
        <v>450</v>
      </c>
      <c r="D17" s="14"/>
    </row>
    <row r="19" spans="1:4" x14ac:dyDescent="0.25">
      <c r="D19" s="39"/>
    </row>
    <row r="27" spans="1:4" x14ac:dyDescent="0.25">
      <c r="B27" s="9" t="s">
        <v>45</v>
      </c>
      <c r="C27" s="9" t="s">
        <v>46</v>
      </c>
    </row>
    <row r="28" spans="1:4" ht="45" x14ac:dyDescent="0.25">
      <c r="A28" s="11" t="s">
        <v>18</v>
      </c>
      <c r="B28" s="7" t="s">
        <v>33</v>
      </c>
      <c r="C28" s="7" t="s">
        <v>37</v>
      </c>
    </row>
    <row r="29" spans="1:4" x14ac:dyDescent="0.25">
      <c r="A29" s="1">
        <v>1</v>
      </c>
      <c r="B29" s="1">
        <v>14</v>
      </c>
      <c r="C29" s="2">
        <v>18511</v>
      </c>
    </row>
    <row r="30" spans="1:4" x14ac:dyDescent="0.25">
      <c r="A30" s="1">
        <f>A29+1</f>
        <v>2</v>
      </c>
      <c r="B30" s="1">
        <v>12</v>
      </c>
      <c r="C30" s="2">
        <v>15920</v>
      </c>
    </row>
    <row r="31" spans="1:4" x14ac:dyDescent="0.25">
      <c r="A31" s="1">
        <f t="shared" ref="A31:A40" si="1">A30+1</f>
        <v>3</v>
      </c>
      <c r="B31" s="1">
        <v>10</v>
      </c>
      <c r="C31" s="2">
        <v>12233</v>
      </c>
    </row>
    <row r="32" spans="1:4" x14ac:dyDescent="0.25">
      <c r="A32" s="1">
        <f t="shared" si="1"/>
        <v>4</v>
      </c>
      <c r="B32" s="1">
        <v>13</v>
      </c>
      <c r="C32" s="2">
        <v>18111</v>
      </c>
    </row>
    <row r="33" spans="1:3" x14ac:dyDescent="0.25">
      <c r="A33" s="1">
        <f t="shared" si="1"/>
        <v>5</v>
      </c>
      <c r="B33" s="1">
        <v>12</v>
      </c>
      <c r="C33" s="2">
        <v>14991</v>
      </c>
    </row>
    <row r="34" spans="1:3" x14ac:dyDescent="0.25">
      <c r="A34" s="1">
        <f t="shared" si="1"/>
        <v>6</v>
      </c>
      <c r="B34" s="1">
        <v>12</v>
      </c>
      <c r="C34" s="2">
        <v>15972</v>
      </c>
    </row>
    <row r="35" spans="1:3" x14ac:dyDescent="0.25">
      <c r="A35" s="1">
        <f t="shared" si="1"/>
        <v>7</v>
      </c>
      <c r="B35" s="1">
        <v>13</v>
      </c>
      <c r="C35" s="2">
        <v>18968</v>
      </c>
    </row>
    <row r="36" spans="1:3" x14ac:dyDescent="0.25">
      <c r="A36" s="1">
        <f t="shared" si="1"/>
        <v>8</v>
      </c>
      <c r="B36" s="1">
        <v>15</v>
      </c>
      <c r="C36" s="2">
        <v>19897</v>
      </c>
    </row>
    <row r="37" spans="1:3" x14ac:dyDescent="0.25">
      <c r="A37" s="1">
        <f t="shared" si="1"/>
        <v>9</v>
      </c>
      <c r="B37" s="1">
        <v>12</v>
      </c>
      <c r="C37" s="2">
        <v>15763</v>
      </c>
    </row>
    <row r="38" spans="1:3" x14ac:dyDescent="0.25">
      <c r="A38" s="1">
        <f t="shared" si="1"/>
        <v>10</v>
      </c>
      <c r="B38" s="1">
        <v>12</v>
      </c>
      <c r="C38" s="2">
        <v>15884</v>
      </c>
    </row>
    <row r="39" spans="1:3" x14ac:dyDescent="0.25">
      <c r="A39" s="1">
        <f t="shared" si="1"/>
        <v>11</v>
      </c>
      <c r="B39" s="1">
        <v>10</v>
      </c>
      <c r="C39" s="2">
        <v>13148</v>
      </c>
    </row>
    <row r="40" spans="1:3" x14ac:dyDescent="0.25">
      <c r="A40" s="13">
        <f t="shared" si="1"/>
        <v>12</v>
      </c>
      <c r="B40" s="17">
        <v>15</v>
      </c>
      <c r="C4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showGridLines="0" zoomScaleNormal="100" workbookViewId="0"/>
  </sheetViews>
  <sheetFormatPr baseColWidth="10" defaultRowHeight="15" x14ac:dyDescent="0.25"/>
  <cols>
    <col min="1" max="1" width="10.7109375" customWidth="1"/>
    <col min="2" max="5" width="15.7109375" customWidth="1"/>
  </cols>
  <sheetData>
    <row r="1" spans="1:5" x14ac:dyDescent="0.25">
      <c r="A1" t="s">
        <v>38</v>
      </c>
    </row>
    <row r="2" spans="1:5" x14ac:dyDescent="0.25">
      <c r="A2" t="s">
        <v>39</v>
      </c>
    </row>
    <row r="3" spans="1:5" x14ac:dyDescent="0.25">
      <c r="A3" t="s">
        <v>40</v>
      </c>
    </row>
    <row r="5" spans="1:5" x14ac:dyDescent="0.25">
      <c r="B5" s="9"/>
      <c r="C5" s="9"/>
      <c r="D5" s="9"/>
      <c r="E5" s="9"/>
    </row>
    <row r="6" spans="1:5" ht="45" x14ac:dyDescent="0.25">
      <c r="A6" s="11" t="s">
        <v>2</v>
      </c>
      <c r="B6" s="11" t="s">
        <v>6</v>
      </c>
      <c r="C6" s="7" t="s">
        <v>3</v>
      </c>
      <c r="D6" s="7" t="s">
        <v>4</v>
      </c>
      <c r="E6" s="7" t="s">
        <v>5</v>
      </c>
    </row>
    <row r="7" spans="1:5" x14ac:dyDescent="0.25">
      <c r="A7" s="1">
        <v>1</v>
      </c>
      <c r="B7" s="2">
        <v>44439</v>
      </c>
      <c r="C7" s="1">
        <v>515</v>
      </c>
      <c r="D7" s="1">
        <v>541</v>
      </c>
      <c r="E7" s="1">
        <v>928</v>
      </c>
    </row>
    <row r="8" spans="1:5" x14ac:dyDescent="0.25">
      <c r="A8" s="1">
        <v>2</v>
      </c>
      <c r="B8" s="2">
        <v>43936</v>
      </c>
      <c r="C8" s="1">
        <v>929</v>
      </c>
      <c r="D8" s="1">
        <v>692</v>
      </c>
      <c r="E8" s="1">
        <v>711</v>
      </c>
    </row>
    <row r="9" spans="1:5" x14ac:dyDescent="0.25">
      <c r="A9" s="1">
        <v>3</v>
      </c>
      <c r="B9" s="2">
        <v>44464</v>
      </c>
      <c r="C9" s="1">
        <v>1015</v>
      </c>
      <c r="D9" s="1">
        <v>710</v>
      </c>
      <c r="E9" s="1">
        <v>824</v>
      </c>
    </row>
    <row r="10" spans="1:5" x14ac:dyDescent="0.25">
      <c r="A10" s="1">
        <v>4</v>
      </c>
      <c r="B10" s="2">
        <v>41533</v>
      </c>
      <c r="C10" s="1">
        <v>979</v>
      </c>
      <c r="D10" s="1">
        <v>675</v>
      </c>
      <c r="E10" s="1">
        <v>758</v>
      </c>
    </row>
    <row r="11" spans="1:5" x14ac:dyDescent="0.25">
      <c r="A11" s="1">
        <v>5</v>
      </c>
      <c r="B11" s="2">
        <v>46343</v>
      </c>
      <c r="C11" s="1">
        <v>1452</v>
      </c>
      <c r="D11" s="1">
        <v>1147</v>
      </c>
      <c r="E11" s="1">
        <v>635</v>
      </c>
    </row>
    <row r="12" spans="1:5" x14ac:dyDescent="0.25">
      <c r="A12" s="1">
        <v>6</v>
      </c>
      <c r="B12" s="2">
        <v>44922</v>
      </c>
      <c r="C12" s="1">
        <v>950</v>
      </c>
      <c r="D12" s="1">
        <v>939</v>
      </c>
      <c r="E12" s="1">
        <v>901</v>
      </c>
    </row>
    <row r="13" spans="1:5" x14ac:dyDescent="0.25">
      <c r="A13" s="1">
        <v>7</v>
      </c>
      <c r="B13" s="2">
        <v>43203</v>
      </c>
      <c r="C13" s="1">
        <v>847</v>
      </c>
      <c r="D13" s="1">
        <v>755</v>
      </c>
      <c r="E13" s="1">
        <v>580</v>
      </c>
    </row>
    <row r="14" spans="1:5" x14ac:dyDescent="0.25">
      <c r="A14" s="1">
        <v>8</v>
      </c>
      <c r="B14" s="2">
        <v>43000</v>
      </c>
      <c r="C14" s="1">
        <v>942</v>
      </c>
      <c r="D14" s="1">
        <v>908</v>
      </c>
      <c r="E14" s="1">
        <v>589</v>
      </c>
    </row>
    <row r="15" spans="1:5" x14ac:dyDescent="0.25">
      <c r="A15" s="1">
        <v>9</v>
      </c>
      <c r="B15" s="2">
        <v>40967</v>
      </c>
      <c r="C15" s="1">
        <v>630</v>
      </c>
      <c r="D15" s="1">
        <v>738</v>
      </c>
      <c r="E15" s="1">
        <v>682</v>
      </c>
    </row>
    <row r="16" spans="1:5" x14ac:dyDescent="0.25">
      <c r="A16" s="1">
        <v>10</v>
      </c>
      <c r="B16" s="2">
        <v>48582</v>
      </c>
      <c r="C16" s="1">
        <v>1241</v>
      </c>
      <c r="D16" s="1">
        <v>1175</v>
      </c>
      <c r="E16" s="1">
        <v>1050</v>
      </c>
    </row>
    <row r="17" spans="1:5" x14ac:dyDescent="0.25">
      <c r="A17" s="1">
        <v>11</v>
      </c>
      <c r="B17" s="2">
        <v>45003</v>
      </c>
      <c r="C17" s="1">
        <v>1086</v>
      </c>
      <c r="D17" s="1">
        <v>1075</v>
      </c>
      <c r="E17" s="1">
        <v>984</v>
      </c>
    </row>
    <row r="18" spans="1:5" x14ac:dyDescent="0.25">
      <c r="A18" s="1">
        <v>12</v>
      </c>
      <c r="B18" s="2">
        <v>44303</v>
      </c>
      <c r="C18" s="1">
        <v>932</v>
      </c>
      <c r="D18" s="1">
        <v>640</v>
      </c>
      <c r="E18" s="1">
        <v>828</v>
      </c>
    </row>
    <row r="19" spans="1:5" x14ac:dyDescent="0.25">
      <c r="A19" s="1">
        <v>13</v>
      </c>
      <c r="B19" s="2">
        <v>42070</v>
      </c>
      <c r="C19" s="1">
        <v>500</v>
      </c>
      <c r="D19" s="1">
        <v>752</v>
      </c>
      <c r="E19" s="1">
        <v>708</v>
      </c>
    </row>
    <row r="20" spans="1:5" x14ac:dyDescent="0.25">
      <c r="A20" s="1">
        <v>14</v>
      </c>
      <c r="B20" s="2">
        <v>44353</v>
      </c>
      <c r="C20" s="1">
        <v>815</v>
      </c>
      <c r="D20" s="1">
        <v>989</v>
      </c>
      <c r="E20" s="1">
        <v>804</v>
      </c>
    </row>
    <row r="21" spans="1:5" x14ac:dyDescent="0.25">
      <c r="A21" s="1">
        <v>15</v>
      </c>
      <c r="B21" s="2">
        <v>45968</v>
      </c>
      <c r="C21" s="1">
        <v>1190</v>
      </c>
      <c r="D21" s="1">
        <v>823</v>
      </c>
      <c r="E21" s="1">
        <v>904</v>
      </c>
    </row>
    <row r="22" spans="1:5" x14ac:dyDescent="0.25">
      <c r="A22" s="1">
        <v>16</v>
      </c>
      <c r="B22" s="2">
        <v>47781</v>
      </c>
      <c r="C22" s="1">
        <v>1200</v>
      </c>
      <c r="D22" s="1">
        <v>1108</v>
      </c>
      <c r="E22" s="1">
        <v>1120</v>
      </c>
    </row>
    <row r="23" spans="1:5" x14ac:dyDescent="0.25">
      <c r="A23" s="1">
        <v>17</v>
      </c>
      <c r="B23" s="2">
        <v>43202</v>
      </c>
      <c r="C23" s="1">
        <v>731</v>
      </c>
      <c r="D23" s="1">
        <v>590</v>
      </c>
      <c r="E23" s="1">
        <v>1065</v>
      </c>
    </row>
    <row r="24" spans="1:5" x14ac:dyDescent="0.25">
      <c r="A24" s="1">
        <v>18</v>
      </c>
      <c r="B24" s="2">
        <v>44074</v>
      </c>
      <c r="C24" s="1">
        <v>1025</v>
      </c>
      <c r="D24" s="1">
        <v>607</v>
      </c>
      <c r="E24" s="1">
        <v>1132</v>
      </c>
    </row>
    <row r="25" spans="1:5" x14ac:dyDescent="0.25">
      <c r="A25" s="13">
        <v>19</v>
      </c>
      <c r="B25" s="14"/>
      <c r="C25" s="17"/>
      <c r="D25" s="17"/>
      <c r="E25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showGridLines="0" zoomScaleNormal="100" workbookViewId="0"/>
  </sheetViews>
  <sheetFormatPr baseColWidth="10" defaultRowHeight="15" x14ac:dyDescent="0.25"/>
  <cols>
    <col min="1" max="4" width="12.7109375" customWidth="1"/>
    <col min="5" max="5" width="15.7109375" customWidth="1"/>
  </cols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5" spans="1:5" x14ac:dyDescent="0.25">
      <c r="A5" s="9"/>
      <c r="B5" s="9"/>
      <c r="C5" s="9"/>
      <c r="D5" s="9"/>
      <c r="E5" s="9"/>
    </row>
    <row r="6" spans="1:5" ht="30" x14ac:dyDescent="0.25">
      <c r="A6" s="7" t="s">
        <v>16</v>
      </c>
      <c r="B6" s="7" t="s">
        <v>15</v>
      </c>
      <c r="C6" s="7" t="s">
        <v>14</v>
      </c>
      <c r="D6" s="7" t="s">
        <v>13</v>
      </c>
      <c r="E6" s="7" t="s">
        <v>17</v>
      </c>
    </row>
    <row r="7" spans="1:5" x14ac:dyDescent="0.25">
      <c r="A7" s="6">
        <v>2310</v>
      </c>
      <c r="B7" s="6">
        <v>6</v>
      </c>
      <c r="C7" s="6">
        <v>2</v>
      </c>
      <c r="D7" s="6">
        <v>20</v>
      </c>
      <c r="E7" s="5">
        <v>142000</v>
      </c>
    </row>
    <row r="8" spans="1:5" x14ac:dyDescent="0.25">
      <c r="A8" s="6">
        <v>2333</v>
      </c>
      <c r="B8" s="6">
        <v>6</v>
      </c>
      <c r="C8" s="6">
        <v>2</v>
      </c>
      <c r="D8" s="6">
        <v>12</v>
      </c>
      <c r="E8" s="5">
        <v>144000</v>
      </c>
    </row>
    <row r="9" spans="1:5" x14ac:dyDescent="0.25">
      <c r="A9" s="6">
        <v>2356</v>
      </c>
      <c r="B9" s="6">
        <v>9</v>
      </c>
      <c r="C9" s="6">
        <v>1</v>
      </c>
      <c r="D9" s="6">
        <v>33</v>
      </c>
      <c r="E9" s="5">
        <v>151000</v>
      </c>
    </row>
    <row r="10" spans="1:5" x14ac:dyDescent="0.25">
      <c r="A10" s="6">
        <v>2379</v>
      </c>
      <c r="B10" s="6">
        <v>9</v>
      </c>
      <c r="C10" s="6">
        <v>2</v>
      </c>
      <c r="D10" s="6">
        <v>43</v>
      </c>
      <c r="E10" s="5">
        <v>150000</v>
      </c>
    </row>
    <row r="11" spans="1:5" x14ac:dyDescent="0.25">
      <c r="A11" s="6">
        <v>2402</v>
      </c>
      <c r="B11" s="6">
        <v>6</v>
      </c>
      <c r="C11" s="6">
        <v>3</v>
      </c>
      <c r="D11" s="6">
        <v>53</v>
      </c>
      <c r="E11" s="5">
        <v>139000</v>
      </c>
    </row>
    <row r="12" spans="1:5" x14ac:dyDescent="0.25">
      <c r="A12" s="6">
        <v>2425</v>
      </c>
      <c r="B12" s="6">
        <v>12</v>
      </c>
      <c r="C12" s="6">
        <v>2</v>
      </c>
      <c r="D12" s="6">
        <v>23</v>
      </c>
      <c r="E12" s="5">
        <v>169000</v>
      </c>
    </row>
    <row r="13" spans="1:5" x14ac:dyDescent="0.25">
      <c r="A13" s="6">
        <v>2448</v>
      </c>
      <c r="B13" s="6">
        <v>6</v>
      </c>
      <c r="C13" s="6">
        <v>1</v>
      </c>
      <c r="D13" s="6">
        <v>99</v>
      </c>
      <c r="E13" s="5">
        <v>126000</v>
      </c>
    </row>
    <row r="14" spans="1:5" x14ac:dyDescent="0.25">
      <c r="A14" s="6">
        <v>2471</v>
      </c>
      <c r="B14" s="6">
        <v>6</v>
      </c>
      <c r="C14" s="6">
        <v>2</v>
      </c>
      <c r="D14" s="6">
        <v>34</v>
      </c>
      <c r="E14" s="5">
        <v>142900</v>
      </c>
    </row>
    <row r="15" spans="1:5" x14ac:dyDescent="0.25">
      <c r="A15" s="6">
        <v>2494</v>
      </c>
      <c r="B15" s="6">
        <v>9</v>
      </c>
      <c r="C15" s="6">
        <v>3</v>
      </c>
      <c r="D15" s="6">
        <v>23</v>
      </c>
      <c r="E15" s="5">
        <v>163000</v>
      </c>
    </row>
    <row r="16" spans="1:5" x14ac:dyDescent="0.25">
      <c r="A16" s="6">
        <v>2517</v>
      </c>
      <c r="B16" s="6">
        <v>12</v>
      </c>
      <c r="C16" s="6">
        <v>4</v>
      </c>
      <c r="D16" s="6">
        <v>55</v>
      </c>
      <c r="E16" s="5">
        <v>169000</v>
      </c>
    </row>
    <row r="17" spans="1:5" x14ac:dyDescent="0.25">
      <c r="A17" s="6">
        <v>2540</v>
      </c>
      <c r="B17" s="6">
        <v>6</v>
      </c>
      <c r="C17" s="6">
        <v>3</v>
      </c>
      <c r="D17" s="6">
        <v>22</v>
      </c>
      <c r="E17" s="5">
        <v>149000</v>
      </c>
    </row>
    <row r="18" spans="1:5" x14ac:dyDescent="0.25">
      <c r="A18" s="16"/>
      <c r="B18" s="17"/>
      <c r="C18" s="17"/>
      <c r="D18" s="17"/>
      <c r="E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BiVar1</vt:lpstr>
      <vt:lpstr>BiVar2</vt:lpstr>
      <vt:lpstr>MultiVar1</vt:lpstr>
      <vt:lpstr>MultiVar2</vt:lpstr>
      <vt:lpstr>MultiVar3EJ</vt:lpstr>
      <vt:lpstr>MultiVar4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A212</cp:lastModifiedBy>
  <dcterms:created xsi:type="dcterms:W3CDTF">2018-03-11T18:25:42Z</dcterms:created>
  <dcterms:modified xsi:type="dcterms:W3CDTF">2025-10-18T01:28:05Z</dcterms:modified>
</cp:coreProperties>
</file>
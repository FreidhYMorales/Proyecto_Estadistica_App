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ducación\"/>
    </mc:Choice>
  </mc:AlternateContent>
  <xr:revisionPtr revIDLastSave="0" documentId="8_{50D05EDF-5FBD-4196-BF81-BE20D91638A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Lineal" sheetId="4" r:id="rId1"/>
    <sheet name="Exponencial" sheetId="5" r:id="rId2"/>
    <sheet name="Logarítmica" sheetId="6" r:id="rId3"/>
    <sheet name="Ejercicio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6" l="1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20" i="6"/>
  <c r="D21" i="6"/>
  <c r="D22" i="6"/>
  <c r="D23" i="6"/>
  <c r="D24" i="6"/>
  <c r="D25" i="6"/>
  <c r="D26" i="6"/>
  <c r="D27" i="6"/>
  <c r="D28" i="6"/>
  <c r="C29" i="6" l="1"/>
  <c r="B33" i="6"/>
  <c r="F6" i="6" s="1"/>
  <c r="C61" i="6"/>
  <c r="C60" i="6"/>
  <c r="B31" i="6"/>
  <c r="F20" i="6" l="1"/>
  <c r="F17" i="6"/>
  <c r="F24" i="6"/>
  <c r="F13" i="6"/>
  <c r="F5" i="6"/>
  <c r="H5" i="6" s="1"/>
  <c r="F9" i="6"/>
  <c r="F21" i="6"/>
  <c r="F28" i="6"/>
  <c r="F25" i="6"/>
  <c r="B32" i="6"/>
  <c r="E6" i="6" s="1"/>
  <c r="G6" i="6" s="1"/>
  <c r="F16" i="6"/>
  <c r="F12" i="6"/>
  <c r="F8" i="6"/>
  <c r="F27" i="6"/>
  <c r="F23" i="6"/>
  <c r="F19" i="6"/>
  <c r="F15" i="6"/>
  <c r="F11" i="6"/>
  <c r="F7" i="6"/>
  <c r="F26" i="6"/>
  <c r="F22" i="6"/>
  <c r="F18" i="6"/>
  <c r="F14" i="6"/>
  <c r="F10" i="6"/>
  <c r="D29" i="6"/>
  <c r="E15" i="6" l="1"/>
  <c r="G15" i="6" s="1"/>
  <c r="E8" i="6"/>
  <c r="G8" i="6" s="1"/>
  <c r="E12" i="6"/>
  <c r="G12" i="6" s="1"/>
  <c r="E10" i="6"/>
  <c r="G10" i="6" s="1"/>
  <c r="E26" i="6"/>
  <c r="G26" i="6" s="1"/>
  <c r="E19" i="6"/>
  <c r="G19" i="6" s="1"/>
  <c r="E24" i="6"/>
  <c r="G24" i="6" s="1"/>
  <c r="E21" i="6"/>
  <c r="G21" i="6" s="1"/>
  <c r="E16" i="6"/>
  <c r="G16" i="6" s="1"/>
  <c r="E11" i="6"/>
  <c r="G11" i="6" s="1"/>
  <c r="E27" i="6"/>
  <c r="G27" i="6" s="1"/>
  <c r="E13" i="6"/>
  <c r="G13" i="6" s="1"/>
  <c r="E22" i="6"/>
  <c r="G22" i="6" s="1"/>
  <c r="E17" i="6"/>
  <c r="G17" i="6" s="1"/>
  <c r="E14" i="6"/>
  <c r="G14" i="6" s="1"/>
  <c r="E7" i="6"/>
  <c r="G7" i="6" s="1"/>
  <c r="E23" i="6"/>
  <c r="G23" i="6" s="1"/>
  <c r="E9" i="6"/>
  <c r="G9" i="6" s="1"/>
  <c r="E25" i="6"/>
  <c r="G25" i="6" s="1"/>
  <c r="E20" i="6"/>
  <c r="G20" i="6" s="1"/>
  <c r="E18" i="6"/>
  <c r="G18" i="6" s="1"/>
  <c r="E5" i="6"/>
  <c r="E28" i="6"/>
  <c r="G28" i="6" s="1"/>
  <c r="F29" i="6"/>
  <c r="H25" i="6"/>
  <c r="G5" i="6" l="1"/>
  <c r="G29" i="6" s="1"/>
  <c r="B35" i="6" s="1"/>
  <c r="I5" i="6"/>
  <c r="I25" i="6"/>
  <c r="H7" i="6"/>
  <c r="I7" i="6"/>
  <c r="H16" i="6"/>
  <c r="I16" i="6"/>
  <c r="H24" i="6"/>
  <c r="I24" i="6"/>
  <c r="H8" i="6"/>
  <c r="I8" i="6"/>
  <c r="H19" i="6"/>
  <c r="I19" i="6"/>
  <c r="H27" i="6"/>
  <c r="I27" i="6"/>
  <c r="H18" i="6"/>
  <c r="I18" i="6"/>
  <c r="H26" i="6"/>
  <c r="I26" i="6"/>
  <c r="H10" i="6"/>
  <c r="I10" i="6"/>
  <c r="H23" i="6"/>
  <c r="I23" i="6"/>
  <c r="H15" i="6"/>
  <c r="I15" i="6"/>
  <c r="H11" i="6"/>
  <c r="I11" i="6"/>
  <c r="H6" i="6"/>
  <c r="I6" i="6"/>
  <c r="H20" i="6"/>
  <c r="I20" i="6"/>
  <c r="H28" i="6"/>
  <c r="I28" i="6"/>
  <c r="H14" i="6"/>
  <c r="I14" i="6"/>
  <c r="H13" i="6"/>
  <c r="I13" i="6"/>
  <c r="H17" i="6"/>
  <c r="I17" i="6"/>
  <c r="H9" i="6"/>
  <c r="I9" i="6"/>
  <c r="H21" i="6"/>
  <c r="I21" i="6"/>
  <c r="H12" i="6"/>
  <c r="I12" i="6"/>
  <c r="H22" i="6"/>
  <c r="I22" i="6"/>
  <c r="I29" i="6" l="1"/>
  <c r="B37" i="6" s="1"/>
  <c r="B51" i="6" s="1"/>
  <c r="B54" i="6" s="1"/>
  <c r="H29" i="6"/>
  <c r="B36" i="6" s="1"/>
  <c r="B61" i="6" l="1"/>
  <c r="B57" i="6"/>
  <c r="B42" i="6"/>
  <c r="D5" i="5" l="1"/>
  <c r="D6" i="5"/>
  <c r="D7" i="5"/>
  <c r="D8" i="5"/>
  <c r="D9" i="5"/>
  <c r="D24" i="5"/>
  <c r="D25" i="5"/>
  <c r="D26" i="5"/>
  <c r="D27" i="5"/>
  <c r="D28" i="5"/>
  <c r="D10" i="5" l="1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C62" i="5"/>
  <c r="C61" i="5"/>
  <c r="B32" i="5"/>
  <c r="E12" i="5" s="1"/>
  <c r="B31" i="5"/>
  <c r="B29" i="5"/>
  <c r="E5" i="5" l="1"/>
  <c r="E7" i="5"/>
  <c r="E9" i="5"/>
  <c r="E6" i="5"/>
  <c r="E8" i="5"/>
  <c r="E20" i="5"/>
  <c r="G20" i="5" s="1"/>
  <c r="E11" i="5"/>
  <c r="G11" i="5" s="1"/>
  <c r="E24" i="5"/>
  <c r="E26" i="5"/>
  <c r="E28" i="5"/>
  <c r="E25" i="5"/>
  <c r="E27" i="5"/>
  <c r="E16" i="5"/>
  <c r="B33" i="5"/>
  <c r="F23" i="5" s="1"/>
  <c r="H23" i="5" s="1"/>
  <c r="F22" i="5"/>
  <c r="H22" i="5" s="1"/>
  <c r="E22" i="5"/>
  <c r="E18" i="5"/>
  <c r="E14" i="5"/>
  <c r="E10" i="5"/>
  <c r="E21" i="5"/>
  <c r="E17" i="5"/>
  <c r="E13" i="5"/>
  <c r="G12" i="5"/>
  <c r="D29" i="5"/>
  <c r="E23" i="5"/>
  <c r="E19" i="5"/>
  <c r="E15" i="5"/>
  <c r="C61" i="4"/>
  <c r="C60" i="4"/>
  <c r="B33" i="4"/>
  <c r="B32" i="4"/>
  <c r="B31" i="4"/>
  <c r="C29" i="4"/>
  <c r="B29" i="4"/>
  <c r="D6" i="4" l="1"/>
  <c r="D14" i="4"/>
  <c r="D22" i="4"/>
  <c r="D8" i="4"/>
  <c r="D16" i="4"/>
  <c r="D24" i="4"/>
  <c r="D13" i="4"/>
  <c r="D7" i="4"/>
  <c r="D9" i="4"/>
  <c r="D17" i="4"/>
  <c r="D25" i="4"/>
  <c r="D15" i="4"/>
  <c r="D10" i="4"/>
  <c r="D18" i="4"/>
  <c r="D26" i="4"/>
  <c r="D23" i="4"/>
  <c r="D11" i="4"/>
  <c r="D19" i="4"/>
  <c r="D27" i="4"/>
  <c r="D21" i="4"/>
  <c r="D12" i="4"/>
  <c r="D20" i="4"/>
  <c r="D28" i="4"/>
  <c r="E13" i="4"/>
  <c r="G13" i="4" s="1"/>
  <c r="E21" i="4"/>
  <c r="G21" i="4" s="1"/>
  <c r="E7" i="4"/>
  <c r="G7" i="4" s="1"/>
  <c r="E15" i="4"/>
  <c r="G15" i="4" s="1"/>
  <c r="E23" i="4"/>
  <c r="G23" i="4" s="1"/>
  <c r="E20" i="4"/>
  <c r="G20" i="4" s="1"/>
  <c r="E28" i="4"/>
  <c r="G28" i="4" s="1"/>
  <c r="E6" i="4"/>
  <c r="G6" i="4" s="1"/>
  <c r="E8" i="4"/>
  <c r="G8" i="4" s="1"/>
  <c r="E16" i="4"/>
  <c r="G16" i="4" s="1"/>
  <c r="E24" i="4"/>
  <c r="G24" i="4" s="1"/>
  <c r="E9" i="4"/>
  <c r="G9" i="4" s="1"/>
  <c r="E17" i="4"/>
  <c r="G17" i="4" s="1"/>
  <c r="E25" i="4"/>
  <c r="G25" i="4" s="1"/>
  <c r="E10" i="4"/>
  <c r="G10" i="4" s="1"/>
  <c r="E18" i="4"/>
  <c r="G18" i="4" s="1"/>
  <c r="E26" i="4"/>
  <c r="G26" i="4" s="1"/>
  <c r="E12" i="4"/>
  <c r="G12" i="4" s="1"/>
  <c r="E14" i="4"/>
  <c r="G14" i="4" s="1"/>
  <c r="E11" i="4"/>
  <c r="G11" i="4" s="1"/>
  <c r="E19" i="4"/>
  <c r="G19" i="4" s="1"/>
  <c r="E27" i="4"/>
  <c r="G27" i="4" s="1"/>
  <c r="E22" i="4"/>
  <c r="G22" i="4" s="1"/>
  <c r="G6" i="5"/>
  <c r="I6" i="5"/>
  <c r="G9" i="5"/>
  <c r="F6" i="5"/>
  <c r="H6" i="5" s="1"/>
  <c r="F8" i="5"/>
  <c r="H8" i="5" s="1"/>
  <c r="F7" i="5"/>
  <c r="H7" i="5" s="1"/>
  <c r="F5" i="5"/>
  <c r="H5" i="5" s="1"/>
  <c r="F9" i="5"/>
  <c r="H9" i="5" s="1"/>
  <c r="I7" i="5"/>
  <c r="G7" i="5"/>
  <c r="G8" i="5"/>
  <c r="G5" i="5"/>
  <c r="G27" i="5"/>
  <c r="G24" i="5"/>
  <c r="F21" i="5"/>
  <c r="H21" i="5" s="1"/>
  <c r="F25" i="5"/>
  <c r="H25" i="5" s="1"/>
  <c r="F27" i="5"/>
  <c r="H27" i="5" s="1"/>
  <c r="F24" i="5"/>
  <c r="H24" i="5" s="1"/>
  <c r="F26" i="5"/>
  <c r="H26" i="5" s="1"/>
  <c r="F28" i="5"/>
  <c r="H28" i="5" s="1"/>
  <c r="G25" i="5"/>
  <c r="F10" i="5"/>
  <c r="H10" i="5" s="1"/>
  <c r="F18" i="5"/>
  <c r="H18" i="5" s="1"/>
  <c r="G28" i="5"/>
  <c r="F19" i="5"/>
  <c r="H19" i="5" s="1"/>
  <c r="F14" i="5"/>
  <c r="H14" i="5" s="1"/>
  <c r="F17" i="5"/>
  <c r="H17" i="5" s="1"/>
  <c r="G26" i="5"/>
  <c r="G16" i="5"/>
  <c r="F20" i="5"/>
  <c r="F29" i="5"/>
  <c r="F12" i="5"/>
  <c r="H12" i="5" s="1"/>
  <c r="F15" i="5"/>
  <c r="H15" i="5" s="1"/>
  <c r="F11" i="5"/>
  <c r="F13" i="5"/>
  <c r="H13" i="5" s="1"/>
  <c r="F16" i="5"/>
  <c r="H16" i="5" s="1"/>
  <c r="I13" i="5"/>
  <c r="G13" i="5"/>
  <c r="I17" i="5"/>
  <c r="G17" i="5"/>
  <c r="I12" i="5"/>
  <c r="G15" i="5"/>
  <c r="G21" i="5"/>
  <c r="G18" i="5"/>
  <c r="G19" i="5"/>
  <c r="G22" i="5"/>
  <c r="I22" i="5"/>
  <c r="G10" i="5"/>
  <c r="G23" i="5"/>
  <c r="I23" i="5"/>
  <c r="G14" i="5"/>
  <c r="E5" i="4"/>
  <c r="G5" i="4" s="1"/>
  <c r="D5" i="4"/>
  <c r="F28" i="4" l="1"/>
  <c r="H28" i="4"/>
  <c r="F26" i="4"/>
  <c r="H26" i="4"/>
  <c r="F13" i="4"/>
  <c r="H13" i="4"/>
  <c r="H10" i="4"/>
  <c r="F10" i="4"/>
  <c r="H16" i="4"/>
  <c r="F16" i="4"/>
  <c r="H23" i="4"/>
  <c r="F23" i="4"/>
  <c r="H20" i="4"/>
  <c r="F20" i="4"/>
  <c r="F21" i="4"/>
  <c r="H21" i="4"/>
  <c r="H15" i="4"/>
  <c r="F15" i="4"/>
  <c r="H8" i="4"/>
  <c r="F8" i="4"/>
  <c r="H7" i="4"/>
  <c r="F7" i="4"/>
  <c r="F27" i="4"/>
  <c r="H27" i="4"/>
  <c r="F25" i="4"/>
  <c r="H25" i="4"/>
  <c r="H22" i="4"/>
  <c r="F22" i="4"/>
  <c r="H18" i="4"/>
  <c r="F18" i="4"/>
  <c r="F12" i="4"/>
  <c r="H12" i="4"/>
  <c r="I21" i="5"/>
  <c r="I5" i="5"/>
  <c r="H19" i="4"/>
  <c r="F19" i="4"/>
  <c r="F17" i="4"/>
  <c r="H17" i="4"/>
  <c r="F14" i="4"/>
  <c r="H14" i="4"/>
  <c r="F24" i="4"/>
  <c r="H24" i="4"/>
  <c r="H11" i="4"/>
  <c r="F11" i="4"/>
  <c r="F9" i="4"/>
  <c r="H9" i="4"/>
  <c r="F6" i="4"/>
  <c r="H6" i="4"/>
  <c r="I10" i="5"/>
  <c r="I19" i="5"/>
  <c r="I9" i="5"/>
  <c r="I27" i="5"/>
  <c r="I8" i="5"/>
  <c r="I14" i="5"/>
  <c r="I26" i="5"/>
  <c r="I25" i="5"/>
  <c r="I18" i="5"/>
  <c r="I28" i="5"/>
  <c r="I24" i="5"/>
  <c r="I16" i="5"/>
  <c r="I15" i="5"/>
  <c r="H11" i="5"/>
  <c r="I11" i="5"/>
  <c r="H20" i="5"/>
  <c r="I20" i="5"/>
  <c r="G29" i="4"/>
  <c r="B36" i="4" s="1"/>
  <c r="G29" i="5"/>
  <c r="B35" i="5" s="1"/>
  <c r="F5" i="4"/>
  <c r="H5" i="4"/>
  <c r="H29" i="5" l="1"/>
  <c r="B36" i="5" s="1"/>
  <c r="I29" i="5"/>
  <c r="B37" i="5" s="1"/>
  <c r="F29" i="4"/>
  <c r="B35" i="4" s="1"/>
  <c r="B51" i="5"/>
  <c r="B54" i="5" s="1"/>
  <c r="B42" i="5"/>
  <c r="H29" i="4"/>
  <c r="B37" i="4" s="1"/>
  <c r="B42" i="4" s="1"/>
  <c r="B55" i="5" l="1"/>
  <c r="B58" i="5" s="1"/>
  <c r="B62" i="5"/>
  <c r="B51" i="4"/>
  <c r="B54" i="4" s="1"/>
  <c r="B61" i="4" s="1"/>
  <c r="B57" i="4" l="1"/>
</calcChain>
</file>

<file path=xl/sharedStrings.xml><?xml version="1.0" encoding="utf-8"?>
<sst xmlns="http://schemas.openxmlformats.org/spreadsheetml/2006/main" count="148" uniqueCount="70">
  <si>
    <t>No</t>
  </si>
  <si>
    <t>x</t>
  </si>
  <si>
    <t>y</t>
  </si>
  <si>
    <t>Totales</t>
  </si>
  <si>
    <t>dx</t>
  </si>
  <si>
    <t>dy</t>
  </si>
  <si>
    <t>dx^2</t>
  </si>
  <si>
    <t>dy^2</t>
  </si>
  <si>
    <t>x media =</t>
  </si>
  <si>
    <t>y media =</t>
  </si>
  <si>
    <t>Sy =</t>
  </si>
  <si>
    <t>Sx =</t>
  </si>
  <si>
    <t>n =</t>
  </si>
  <si>
    <t>Sxy =</t>
  </si>
  <si>
    <t>r =</t>
  </si>
  <si>
    <t>(x-x)</t>
  </si>
  <si>
    <t>(y-y)</t>
  </si>
  <si>
    <t>Esta "r" se calculo por medio de la Covarianza y las Desviaciones Típicas.</t>
  </si>
  <si>
    <t>Covarianza.</t>
  </si>
  <si>
    <t>Coeficiente de Correlación de Pearson</t>
  </si>
  <si>
    <t>b =</t>
  </si>
  <si>
    <t>a =</t>
  </si>
  <si>
    <t>Esta "b" se calculó por medio de la Covarianza y la Desviación Típica de X.</t>
  </si>
  <si>
    <t>Esta "a" se calculó por medio del Coeficiente "b" y las Medias de X y Y.</t>
  </si>
  <si>
    <t xml:space="preserve">y = </t>
  </si>
  <si>
    <t>Ecuación estimada de Regresión Lineal.</t>
  </si>
  <si>
    <t>x =</t>
  </si>
  <si>
    <t>y =</t>
  </si>
  <si>
    <t>dx*dy</t>
  </si>
  <si>
    <t>0.4 &lt; r &lt; 0.7</t>
  </si>
  <si>
    <t>r &gt;= 0.7</t>
  </si>
  <si>
    <t>r &lt;= 0.4</t>
  </si>
  <si>
    <t>Correlación alta</t>
  </si>
  <si>
    <t>Correlación media</t>
  </si>
  <si>
    <t>Correlación baja</t>
  </si>
  <si>
    <t>r es positivo</t>
  </si>
  <si>
    <t>r es negativo</t>
  </si>
  <si>
    <t>Grado de correlación</t>
  </si>
  <si>
    <t>Relación directa ("x" aumenta "y" aumenta / "x" disminuye "y" disminuye)</t>
  </si>
  <si>
    <t>Relación inversa ("x" aumenta "y" disminuye / "x" disminuye "y" aumenta)</t>
  </si>
  <si>
    <t>Forma de la correlación</t>
  </si>
  <si>
    <t>Ejemplo 1 - Análisis de correlación y regresión lineal</t>
  </si>
  <si>
    <t>y'</t>
  </si>
  <si>
    <t>Mes</t>
  </si>
  <si>
    <t>Unidades vendidas</t>
  </si>
  <si>
    <t>y' media =</t>
  </si>
  <si>
    <t>dy'</t>
  </si>
  <si>
    <t>dy'^2</t>
  </si>
  <si>
    <t>(y'-y)</t>
  </si>
  <si>
    <t>dx*dy'</t>
  </si>
  <si>
    <t>Sy' =</t>
  </si>
  <si>
    <t>Sxy' =</t>
  </si>
  <si>
    <t>A' =</t>
  </si>
  <si>
    <t>Ecuación estimada de Regresión Exponencial.</t>
  </si>
  <si>
    <t>x'</t>
  </si>
  <si>
    <t>dx'</t>
  </si>
  <si>
    <t>(x'-x)</t>
  </si>
  <si>
    <t>dx'^2</t>
  </si>
  <si>
    <t>dx'*dy</t>
  </si>
  <si>
    <t>Sx' =</t>
  </si>
  <si>
    <t>x' media =</t>
  </si>
  <si>
    <t>Sx'y =</t>
  </si>
  <si>
    <t>Ecuación estimada de Regresión Logarítmica.</t>
  </si>
  <si>
    <t>Ejemplo 1 - Análisis de correlación y regresión logarítmica</t>
  </si>
  <si>
    <t>Ejemplo 1 - Análisis de correlación y regresión exponencial</t>
  </si>
  <si>
    <t>y = A' e^(bx)</t>
  </si>
  <si>
    <t>y = a + b ln(x)</t>
  </si>
  <si>
    <t>Ejercicio 1 - Análisis de correlación y regresión</t>
  </si>
  <si>
    <t>Realice el análisis de correlación lineal, exponencial y logarítmico.</t>
  </si>
  <si>
    <t>¿Cuál de los modelos explica mejor la relación entre las variables?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</si>
</sst>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E+00"/>
    <numFmt numFmtId="165" formatCode="0.000"/>
    <numFmt numFmtId="166" formatCode="0.0000"/>
  </numFmts>
  <fonts count="9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right"/>
    </xf>
    <xf numFmtId="0" fontId="0" fillId="3" borderId="1" xfId="0" applyFill="1" applyBorder="1" applyAlignment="1">
      <alignment horizontal="right"/>
    </xf>
    <xf numFmtId="0" fontId="0" fillId="3" borderId="1" xfId="0" applyFill="1" applyBorder="1"/>
    <xf numFmtId="0" fontId="0" fillId="0" borderId="0" xfId="0" applyFill="1" applyBorder="1" applyAlignment="1">
      <alignment horizontal="right"/>
    </xf>
    <xf numFmtId="0" fontId="0" fillId="0" borderId="0" xfId="0" applyFill="1" applyBorder="1"/>
    <xf numFmtId="0" fontId="0" fillId="0" borderId="0" xfId="0" applyFill="1" applyBorder="1" applyAlignment="1">
      <alignment horizontal="left"/>
    </xf>
    <xf numFmtId="2" fontId="0" fillId="3" borderId="1" xfId="0" applyNumberFormat="1" applyFill="1" applyBorder="1"/>
    <xf numFmtId="2" fontId="0" fillId="2" borderId="1" xfId="0" applyNumberFormat="1" applyFill="1" applyBorder="1"/>
    <xf numFmtId="0" fontId="0" fillId="2" borderId="1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0" fontId="2" fillId="0" borderId="0" xfId="0" applyFont="1"/>
    <xf numFmtId="0" fontId="2" fillId="0" borderId="0" xfId="0" applyFont="1" applyFill="1" applyBorder="1"/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1" xfId="0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164" fontId="5" fillId="7" borderId="1" xfId="0" applyNumberFormat="1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2" fontId="6" fillId="7" borderId="1" xfId="0" applyNumberFormat="1" applyFont="1" applyFill="1" applyBorder="1" applyAlignment="1">
      <alignment horizontal="center"/>
    </xf>
    <xf numFmtId="166" fontId="6" fillId="7" borderId="1" xfId="0" applyNumberFormat="1" applyFont="1" applyFill="1" applyBorder="1" applyAlignment="1">
      <alignment horizontal="center"/>
    </xf>
    <xf numFmtId="165" fontId="6" fillId="7" borderId="1" xfId="0" applyNumberFormat="1" applyFont="1" applyFill="1" applyBorder="1" applyAlignment="1">
      <alignment horizontal="center"/>
    </xf>
    <xf numFmtId="165" fontId="0" fillId="3" borderId="1" xfId="0" applyNumberFormat="1" applyFill="1" applyBorder="1"/>
    <xf numFmtId="0" fontId="4" fillId="0" borderId="1" xfId="0" applyFont="1" applyBorder="1"/>
    <xf numFmtId="0" fontId="7" fillId="0" borderId="0" xfId="0" applyFont="1"/>
    <xf numFmtId="166" fontId="0" fillId="3" borderId="1" xfId="0" applyNumberFormat="1" applyFill="1" applyBorder="1"/>
    <xf numFmtId="0" fontId="4" fillId="0" borderId="1" xfId="0" applyFont="1" applyBorder="1"/>
    <xf numFmtId="166" fontId="0" fillId="2" borderId="1" xfId="0" applyNumberFormat="1" applyFill="1" applyBorder="1"/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166" fontId="0" fillId="3" borderId="1" xfId="1" applyNumberFormat="1" applyFont="1" applyFill="1" applyBorder="1"/>
    <xf numFmtId="0" fontId="0" fillId="5" borderId="1" xfId="0" applyFill="1" applyBorder="1" applyAlignment="1">
      <alignment horizontal="center" vertical="center" wrapText="1"/>
    </xf>
    <xf numFmtId="166" fontId="0" fillId="5" borderId="1" xfId="0" applyNumberFormat="1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0" borderId="1" xfId="0" applyFont="1" applyBorder="1"/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2" xfId="0" applyFont="1" applyFill="1" applyBorder="1" applyAlignment="1">
      <alignment horizontal="left"/>
    </xf>
    <xf numFmtId="0" fontId="0" fillId="2" borderId="3" xfId="0" applyFont="1" applyFill="1" applyBorder="1" applyAlignment="1">
      <alignment horizontal="left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Lineal!$C$4</c:f>
              <c:strCache>
                <c:ptCount val="1"/>
                <c:pt idx="0">
                  <c:v>Unidades vendidas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Lineal!$B$5:$B$28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Lineal!$C$5:$C$28</c:f>
              <c:numCache>
                <c:formatCode>General</c:formatCode>
                <c:ptCount val="24"/>
                <c:pt idx="0">
                  <c:v>100</c:v>
                </c:pt>
                <c:pt idx="1">
                  <c:v>160</c:v>
                </c:pt>
                <c:pt idx="2">
                  <c:v>210</c:v>
                </c:pt>
                <c:pt idx="3">
                  <c:v>220</c:v>
                </c:pt>
                <c:pt idx="4">
                  <c:v>280</c:v>
                </c:pt>
                <c:pt idx="5">
                  <c:v>350</c:v>
                </c:pt>
                <c:pt idx="6">
                  <c:v>390</c:v>
                </c:pt>
                <c:pt idx="7">
                  <c:v>470</c:v>
                </c:pt>
                <c:pt idx="8">
                  <c:v>500</c:v>
                </c:pt>
                <c:pt idx="9">
                  <c:v>540</c:v>
                </c:pt>
                <c:pt idx="10">
                  <c:v>580</c:v>
                </c:pt>
                <c:pt idx="11">
                  <c:v>650</c:v>
                </c:pt>
                <c:pt idx="12">
                  <c:v>700</c:v>
                </c:pt>
                <c:pt idx="13">
                  <c:v>720</c:v>
                </c:pt>
                <c:pt idx="14">
                  <c:v>810</c:v>
                </c:pt>
                <c:pt idx="15">
                  <c:v>860</c:v>
                </c:pt>
                <c:pt idx="16">
                  <c:v>920</c:v>
                </c:pt>
                <c:pt idx="17">
                  <c:v>1000</c:v>
                </c:pt>
                <c:pt idx="18">
                  <c:v>1020</c:v>
                </c:pt>
                <c:pt idx="19">
                  <c:v>1080</c:v>
                </c:pt>
                <c:pt idx="20">
                  <c:v>1090</c:v>
                </c:pt>
                <c:pt idx="21">
                  <c:v>1150</c:v>
                </c:pt>
                <c:pt idx="22">
                  <c:v>1210</c:v>
                </c:pt>
                <c:pt idx="23">
                  <c:v>1250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15-4D70-97A8-0875D3230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1087296"/>
        <c:axId val="651088280"/>
      </c:scatterChart>
      <c:valAx>
        <c:axId val="65108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51088280"/>
        <c:crosses val="autoZero"/>
        <c:crossBetween val="midCat"/>
      </c:valAx>
      <c:valAx>
        <c:axId val="651088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51087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Exponencial!$C$4</c:f>
              <c:strCache>
                <c:ptCount val="1"/>
                <c:pt idx="0">
                  <c:v>Unidades vendidas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olid"/>
              </a:ln>
              <a:effectLst/>
            </c:spPr>
            <c:trendlineType val="exp"/>
            <c:dispRSqr val="0"/>
            <c:dispEq val="0"/>
          </c:trendline>
          <c:xVal>
            <c:numRef>
              <c:f>Exponencial!$B$5:$B$28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Exponencial!$C$5:$C$28</c:f>
              <c:numCache>
                <c:formatCode>General</c:formatCode>
                <c:ptCount val="24"/>
                <c:pt idx="0">
                  <c:v>90</c:v>
                </c:pt>
                <c:pt idx="1">
                  <c:v>110</c:v>
                </c:pt>
                <c:pt idx="2">
                  <c:v>125</c:v>
                </c:pt>
                <c:pt idx="3">
                  <c:v>150</c:v>
                </c:pt>
                <c:pt idx="4">
                  <c:v>210</c:v>
                </c:pt>
                <c:pt idx="5">
                  <c:v>290</c:v>
                </c:pt>
                <c:pt idx="6">
                  <c:v>390</c:v>
                </c:pt>
                <c:pt idx="7">
                  <c:v>450</c:v>
                </c:pt>
                <c:pt idx="8">
                  <c:v>560</c:v>
                </c:pt>
                <c:pt idx="9">
                  <c:v>580</c:v>
                </c:pt>
                <c:pt idx="10">
                  <c:v>690</c:v>
                </c:pt>
                <c:pt idx="11">
                  <c:v>750</c:v>
                </c:pt>
                <c:pt idx="12">
                  <c:v>820</c:v>
                </c:pt>
                <c:pt idx="13">
                  <c:v>990</c:v>
                </c:pt>
                <c:pt idx="14">
                  <c:v>1120</c:v>
                </c:pt>
                <c:pt idx="15">
                  <c:v>1240</c:v>
                </c:pt>
                <c:pt idx="16">
                  <c:v>1430</c:v>
                </c:pt>
                <c:pt idx="17">
                  <c:v>1600</c:v>
                </c:pt>
                <c:pt idx="18">
                  <c:v>1780</c:v>
                </c:pt>
                <c:pt idx="19">
                  <c:v>2080</c:v>
                </c:pt>
                <c:pt idx="20">
                  <c:v>2300</c:v>
                </c:pt>
                <c:pt idx="21">
                  <c:v>2700</c:v>
                </c:pt>
                <c:pt idx="22">
                  <c:v>3200</c:v>
                </c:pt>
                <c:pt idx="23">
                  <c:v>3750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10-481E-9FB8-A4732ACB7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488960"/>
        <c:axId val="568480104"/>
      </c:scatterChart>
      <c:valAx>
        <c:axId val="56848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8480104"/>
        <c:crosses val="autoZero"/>
        <c:crossBetween val="midCat"/>
      </c:valAx>
      <c:valAx>
        <c:axId val="568480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8488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Exponencial!$D$4</c:f>
              <c:strCache>
                <c:ptCount val="1"/>
                <c:pt idx="0">
                  <c:v>Unidades vendidas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Exponencial!$B$5:$B$28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Exponencial!$D$5:$D$28</c:f>
              <c:numCache>
                <c:formatCode>0.0000</c:formatCode>
                <c:ptCount val="24"/>
                <c:pt idx="0">
                  <c:v>4.499809670330265</c:v>
                </c:pt>
                <c:pt idx="1">
                  <c:v>4.7004803657924166</c:v>
                </c:pt>
                <c:pt idx="2">
                  <c:v>4.8283137373023015</c:v>
                </c:pt>
                <c:pt idx="3">
                  <c:v>5.0106352940962555</c:v>
                </c:pt>
                <c:pt idx="4">
                  <c:v>5.3471075307174685</c:v>
                </c:pt>
                <c:pt idx="5">
                  <c:v>5.6698809229805196</c:v>
                </c:pt>
                <c:pt idx="6">
                  <c:v>5.9661467391236922</c:v>
                </c:pt>
                <c:pt idx="7">
                  <c:v>6.1092475827643655</c:v>
                </c:pt>
                <c:pt idx="8">
                  <c:v>6.3279367837291947</c:v>
                </c:pt>
                <c:pt idx="9">
                  <c:v>6.363028103540465</c:v>
                </c:pt>
                <c:pt idx="10">
                  <c:v>6.5366915975913047</c:v>
                </c:pt>
                <c:pt idx="11">
                  <c:v>6.620073206530356</c:v>
                </c:pt>
                <c:pt idx="12">
                  <c:v>6.7093043402582984</c:v>
                </c:pt>
                <c:pt idx="13">
                  <c:v>6.8977049431286357</c:v>
                </c:pt>
                <c:pt idx="14">
                  <c:v>7.0210839642891401</c:v>
                </c:pt>
                <c:pt idx="15">
                  <c:v>7.122866658599083</c:v>
                </c:pt>
                <c:pt idx="16">
                  <c:v>7.2654297232539529</c:v>
                </c:pt>
                <c:pt idx="17">
                  <c:v>7.3777589082278725</c:v>
                </c:pt>
                <c:pt idx="18">
                  <c:v>7.4843686432861309</c:v>
                </c:pt>
                <c:pt idx="19">
                  <c:v>7.6401231726953638</c:v>
                </c:pt>
                <c:pt idx="20">
                  <c:v>7.7406644019172415</c:v>
                </c:pt>
                <c:pt idx="21">
                  <c:v>7.90100705199242</c:v>
                </c:pt>
                <c:pt idx="22">
                  <c:v>8.0709060887878188</c:v>
                </c:pt>
                <c:pt idx="23">
                  <c:v>8.2295111189644565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D1-458D-972A-2923D9A6C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494208"/>
        <c:axId val="568499128"/>
      </c:scatterChart>
      <c:valAx>
        <c:axId val="56849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8499128"/>
        <c:crosses val="autoZero"/>
        <c:crossBetween val="midCat"/>
      </c:valAx>
      <c:valAx>
        <c:axId val="568499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8494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Logarítmica!$C$4</c:f>
              <c:strCache>
                <c:ptCount val="1"/>
                <c:pt idx="0">
                  <c:v>Unidades vendidas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olid"/>
              </a:ln>
              <a:effectLst/>
            </c:spPr>
            <c:trendlineType val="log"/>
            <c:dispRSqr val="0"/>
            <c:dispEq val="0"/>
          </c:trendline>
          <c:xVal>
            <c:numRef>
              <c:f>Logarítmica!$B$5:$B$28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Logarítmica!$C$5:$C$28</c:f>
              <c:numCache>
                <c:formatCode>General</c:formatCode>
                <c:ptCount val="24"/>
                <c:pt idx="0">
                  <c:v>90</c:v>
                </c:pt>
                <c:pt idx="1">
                  <c:v>380</c:v>
                </c:pt>
                <c:pt idx="2">
                  <c:v>690</c:v>
                </c:pt>
                <c:pt idx="3">
                  <c:v>1020</c:v>
                </c:pt>
                <c:pt idx="4">
                  <c:v>1180</c:v>
                </c:pt>
                <c:pt idx="5">
                  <c:v>1470</c:v>
                </c:pt>
                <c:pt idx="6">
                  <c:v>1680</c:v>
                </c:pt>
                <c:pt idx="7">
                  <c:v>1760</c:v>
                </c:pt>
                <c:pt idx="8">
                  <c:v>1920</c:v>
                </c:pt>
                <c:pt idx="9">
                  <c:v>2180</c:v>
                </c:pt>
                <c:pt idx="10">
                  <c:v>2340</c:v>
                </c:pt>
                <c:pt idx="11">
                  <c:v>2450</c:v>
                </c:pt>
                <c:pt idx="12">
                  <c:v>2650</c:v>
                </c:pt>
                <c:pt idx="13">
                  <c:v>2770</c:v>
                </c:pt>
                <c:pt idx="14">
                  <c:v>2850</c:v>
                </c:pt>
                <c:pt idx="15">
                  <c:v>2910</c:v>
                </c:pt>
                <c:pt idx="16">
                  <c:v>2950</c:v>
                </c:pt>
                <c:pt idx="17">
                  <c:v>2990</c:v>
                </c:pt>
                <c:pt idx="18">
                  <c:v>3100</c:v>
                </c:pt>
                <c:pt idx="19">
                  <c:v>3160</c:v>
                </c:pt>
                <c:pt idx="20">
                  <c:v>3180</c:v>
                </c:pt>
                <c:pt idx="21">
                  <c:v>3190</c:v>
                </c:pt>
                <c:pt idx="22">
                  <c:v>3200</c:v>
                </c:pt>
                <c:pt idx="23">
                  <c:v>3220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07-49B5-9CA0-96F795928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501424"/>
        <c:axId val="568447304"/>
      </c:scatterChart>
      <c:valAx>
        <c:axId val="56850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8447304"/>
        <c:crosses val="autoZero"/>
        <c:crossBetween val="midCat"/>
      </c:valAx>
      <c:valAx>
        <c:axId val="5684473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850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Logarítmica!$C$4</c:f>
              <c:strCache>
                <c:ptCount val="1"/>
                <c:pt idx="0">
                  <c:v>Unidades vendidas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Logarítmica!$D$5:$D$28</c:f>
              <c:numCache>
                <c:formatCode>0.0000</c:formatCode>
                <c:ptCount val="24"/>
                <c:pt idx="0">
                  <c:v>0</c:v>
                </c:pt>
                <c:pt idx="1">
                  <c:v>0.69314718055994529</c:v>
                </c:pt>
                <c:pt idx="2">
                  <c:v>1.0986122886681098</c:v>
                </c:pt>
                <c:pt idx="3">
                  <c:v>1.3862943611198906</c:v>
                </c:pt>
                <c:pt idx="4">
                  <c:v>1.6094379124341003</c:v>
                </c:pt>
                <c:pt idx="5">
                  <c:v>1.791759469228055</c:v>
                </c:pt>
                <c:pt idx="6">
                  <c:v>1.9459101490553132</c:v>
                </c:pt>
                <c:pt idx="7">
                  <c:v>2.0794415416798357</c:v>
                </c:pt>
                <c:pt idx="8">
                  <c:v>2.1972245773362196</c:v>
                </c:pt>
                <c:pt idx="9">
                  <c:v>2.3025850929940459</c:v>
                </c:pt>
                <c:pt idx="10">
                  <c:v>2.3978952727983707</c:v>
                </c:pt>
                <c:pt idx="11">
                  <c:v>2.4849066497880004</c:v>
                </c:pt>
                <c:pt idx="12">
                  <c:v>2.5649493574615367</c:v>
                </c:pt>
                <c:pt idx="13">
                  <c:v>2.6390573296152584</c:v>
                </c:pt>
                <c:pt idx="14">
                  <c:v>2.7080502011022101</c:v>
                </c:pt>
                <c:pt idx="15">
                  <c:v>2.7725887222397811</c:v>
                </c:pt>
                <c:pt idx="16">
                  <c:v>2.8332133440562162</c:v>
                </c:pt>
                <c:pt idx="17">
                  <c:v>2.8903717578961645</c:v>
                </c:pt>
                <c:pt idx="18">
                  <c:v>2.9444389791664403</c:v>
                </c:pt>
                <c:pt idx="19">
                  <c:v>2.9957322735539909</c:v>
                </c:pt>
                <c:pt idx="20">
                  <c:v>3.044522437723423</c:v>
                </c:pt>
                <c:pt idx="21">
                  <c:v>3.0910424533583161</c:v>
                </c:pt>
                <c:pt idx="22">
                  <c:v>3.1354942159291497</c:v>
                </c:pt>
                <c:pt idx="23">
                  <c:v>3.1780538303479458</c:v>
                </c:pt>
              </c:numCache>
            </c:numRef>
          </c:xVal>
          <c:yVal>
            <c:numRef>
              <c:f>Logarítmica!$C$5:$C$28</c:f>
              <c:numCache>
                <c:formatCode>General</c:formatCode>
                <c:ptCount val="24"/>
                <c:pt idx="0">
                  <c:v>90</c:v>
                </c:pt>
                <c:pt idx="1">
                  <c:v>380</c:v>
                </c:pt>
                <c:pt idx="2">
                  <c:v>690</c:v>
                </c:pt>
                <c:pt idx="3">
                  <c:v>1020</c:v>
                </c:pt>
                <c:pt idx="4">
                  <c:v>1180</c:v>
                </c:pt>
                <c:pt idx="5">
                  <c:v>1470</c:v>
                </c:pt>
                <c:pt idx="6">
                  <c:v>1680</c:v>
                </c:pt>
                <c:pt idx="7">
                  <c:v>1760</c:v>
                </c:pt>
                <c:pt idx="8">
                  <c:v>1920</c:v>
                </c:pt>
                <c:pt idx="9">
                  <c:v>2180</c:v>
                </c:pt>
                <c:pt idx="10">
                  <c:v>2340</c:v>
                </c:pt>
                <c:pt idx="11">
                  <c:v>2450</c:v>
                </c:pt>
                <c:pt idx="12">
                  <c:v>2650</c:v>
                </c:pt>
                <c:pt idx="13">
                  <c:v>2770</c:v>
                </c:pt>
                <c:pt idx="14">
                  <c:v>2850</c:v>
                </c:pt>
                <c:pt idx="15">
                  <c:v>2910</c:v>
                </c:pt>
                <c:pt idx="16">
                  <c:v>2950</c:v>
                </c:pt>
                <c:pt idx="17">
                  <c:v>2990</c:v>
                </c:pt>
                <c:pt idx="18">
                  <c:v>3100</c:v>
                </c:pt>
                <c:pt idx="19">
                  <c:v>3160</c:v>
                </c:pt>
                <c:pt idx="20">
                  <c:v>3180</c:v>
                </c:pt>
                <c:pt idx="21">
                  <c:v>3190</c:v>
                </c:pt>
                <c:pt idx="22">
                  <c:v>3200</c:v>
                </c:pt>
                <c:pt idx="23">
                  <c:v>3220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CA-43D0-BB53-8E0B86BD1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080992"/>
        <c:axId val="670085256"/>
      </c:scatterChart>
      <c:valAx>
        <c:axId val="67008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70085256"/>
        <c:crosses val="autoZero"/>
        <c:crossBetween val="midCat"/>
      </c:valAx>
      <c:valAx>
        <c:axId val="6700852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70080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319849</xdr:colOff>
      <xdr:row>40</xdr:row>
      <xdr:rowOff>22860</xdr:rowOff>
    </xdr:from>
    <xdr:to>
      <xdr:col>7</xdr:col>
      <xdr:colOff>21044</xdr:colOff>
      <xdr:row>42</xdr:row>
      <xdr:rowOff>167640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2B463C0E-227F-4D05-8AD9-BEE0A510E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4549" y="4810760"/>
          <a:ext cx="734960" cy="513080"/>
        </a:xfrm>
        <a:prstGeom prst="rect">
          <a:avLst/>
        </a:prstGeom>
      </xdr:spPr>
    </xdr:pic>
    <xdr:clientData/>
  </xdr:twoCellAnchor>
  <xdr:twoCellAnchor editAs="oneCell">
    <xdr:from>
      <xdr:col>2</xdr:col>
      <xdr:colOff>777240</xdr:colOff>
      <xdr:row>35</xdr:row>
      <xdr:rowOff>15240</xdr:rowOff>
    </xdr:from>
    <xdr:to>
      <xdr:col>3</xdr:col>
      <xdr:colOff>876702</xdr:colOff>
      <xdr:row>37</xdr:row>
      <xdr:rowOff>175260</xdr:rowOff>
    </xdr:to>
    <xdr:pic>
      <xdr:nvPicPr>
        <xdr:cNvPr id="3" name="3 Imagen">
          <a:extLst>
            <a:ext uri="{FF2B5EF4-FFF2-40B4-BE49-F238E27FC236}">
              <a16:creationId xmlns:a16="http://schemas.microsoft.com/office/drawing/2014/main" id="{52AEDF2B-1063-4FC6-AFE2-5BBB05269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2540" y="3882390"/>
          <a:ext cx="1137687" cy="528320"/>
        </a:xfrm>
        <a:prstGeom prst="rect">
          <a:avLst/>
        </a:prstGeom>
      </xdr:spPr>
    </xdr:pic>
    <xdr:clientData/>
  </xdr:twoCellAnchor>
  <xdr:twoCellAnchor editAs="oneCell">
    <xdr:from>
      <xdr:col>6</xdr:col>
      <xdr:colOff>365175</xdr:colOff>
      <xdr:row>49</xdr:row>
      <xdr:rowOff>5472</xdr:rowOff>
    </xdr:from>
    <xdr:to>
      <xdr:col>7</xdr:col>
      <xdr:colOff>7</xdr:colOff>
      <xdr:row>51</xdr:row>
      <xdr:rowOff>175847</xdr:rowOff>
    </xdr:to>
    <xdr:pic>
      <xdr:nvPicPr>
        <xdr:cNvPr id="4" name="5 Imagen">
          <a:extLst>
            <a:ext uri="{FF2B5EF4-FFF2-40B4-BE49-F238E27FC236}">
              <a16:creationId xmlns:a16="http://schemas.microsoft.com/office/drawing/2014/main" id="{11D192B0-1870-4A9A-A141-49DA28AC3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19875" y="6450722"/>
          <a:ext cx="666155" cy="538675"/>
        </a:xfrm>
        <a:prstGeom prst="rect">
          <a:avLst/>
        </a:prstGeom>
      </xdr:spPr>
    </xdr:pic>
    <xdr:clientData/>
  </xdr:twoCellAnchor>
  <xdr:twoCellAnchor editAs="oneCell">
    <xdr:from>
      <xdr:col>6</xdr:col>
      <xdr:colOff>156307</xdr:colOff>
      <xdr:row>52</xdr:row>
      <xdr:rowOff>25594</xdr:rowOff>
    </xdr:from>
    <xdr:to>
      <xdr:col>7</xdr:col>
      <xdr:colOff>157557</xdr:colOff>
      <xdr:row>54</xdr:row>
      <xdr:rowOff>147513</xdr:rowOff>
    </xdr:to>
    <xdr:pic>
      <xdr:nvPicPr>
        <xdr:cNvPr id="5" name="6 Imagen">
          <a:extLst>
            <a:ext uri="{FF2B5EF4-FFF2-40B4-BE49-F238E27FC236}">
              <a16:creationId xmlns:a16="http://schemas.microsoft.com/office/drawing/2014/main" id="{364F4313-6654-45CB-A409-2E8C44204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11007" y="7023294"/>
          <a:ext cx="1035015" cy="490219"/>
        </a:xfrm>
        <a:prstGeom prst="rect">
          <a:avLst/>
        </a:prstGeom>
      </xdr:spPr>
    </xdr:pic>
    <xdr:clientData/>
  </xdr:twoCellAnchor>
  <xdr:twoCellAnchor editAs="oneCell">
    <xdr:from>
      <xdr:col>5</xdr:col>
      <xdr:colOff>372159</xdr:colOff>
      <xdr:row>55</xdr:row>
      <xdr:rowOff>8206</xdr:rowOff>
    </xdr:from>
    <xdr:to>
      <xdr:col>6</xdr:col>
      <xdr:colOff>437139</xdr:colOff>
      <xdr:row>57</xdr:row>
      <xdr:rowOff>163957</xdr:rowOff>
    </xdr:to>
    <xdr:pic>
      <xdr:nvPicPr>
        <xdr:cNvPr id="6" name="8 Imagen">
          <a:extLst>
            <a:ext uri="{FF2B5EF4-FFF2-40B4-BE49-F238E27FC236}">
              <a16:creationId xmlns:a16="http://schemas.microsoft.com/office/drawing/2014/main" id="{84BC5E3B-6446-44E1-83E6-6A129F6C2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01309" y="10676206"/>
          <a:ext cx="1041595" cy="536751"/>
        </a:xfrm>
        <a:prstGeom prst="rect">
          <a:avLst/>
        </a:prstGeom>
      </xdr:spPr>
    </xdr:pic>
    <xdr:clientData/>
  </xdr:twoCellAnchor>
  <xdr:twoCellAnchor>
    <xdr:from>
      <xdr:col>8</xdr:col>
      <xdr:colOff>136662</xdr:colOff>
      <xdr:row>4</xdr:row>
      <xdr:rowOff>61487</xdr:rowOff>
    </xdr:from>
    <xdr:to>
      <xdr:col>13</xdr:col>
      <xdr:colOff>646662</xdr:colOff>
      <xdr:row>17</xdr:row>
      <xdr:rowOff>104987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25127EB-7888-4633-B1A0-958ED43DF2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319849</xdr:colOff>
      <xdr:row>40</xdr:row>
      <xdr:rowOff>22860</xdr:rowOff>
    </xdr:from>
    <xdr:to>
      <xdr:col>7</xdr:col>
      <xdr:colOff>16584</xdr:colOff>
      <xdr:row>42</xdr:row>
      <xdr:rowOff>167640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67CD05C0-97AF-43DF-A71B-2BC2EBC74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0074" y="5356860"/>
          <a:ext cx="677810" cy="525780"/>
        </a:xfrm>
        <a:prstGeom prst="rect">
          <a:avLst/>
        </a:prstGeom>
      </xdr:spPr>
    </xdr:pic>
    <xdr:clientData/>
  </xdr:twoCellAnchor>
  <xdr:twoCellAnchor editAs="oneCell">
    <xdr:from>
      <xdr:col>2</xdr:col>
      <xdr:colOff>777240</xdr:colOff>
      <xdr:row>35</xdr:row>
      <xdr:rowOff>15240</xdr:rowOff>
    </xdr:from>
    <xdr:to>
      <xdr:col>3</xdr:col>
      <xdr:colOff>876702</xdr:colOff>
      <xdr:row>37</xdr:row>
      <xdr:rowOff>175260</xdr:rowOff>
    </xdr:to>
    <xdr:pic>
      <xdr:nvPicPr>
        <xdr:cNvPr id="3" name="3 Imagen">
          <a:extLst>
            <a:ext uri="{FF2B5EF4-FFF2-40B4-BE49-F238E27FC236}">
              <a16:creationId xmlns:a16="http://schemas.microsoft.com/office/drawing/2014/main" id="{474EA525-863E-4614-ADCB-FFBC8EB7C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3165" y="4396740"/>
          <a:ext cx="1080537" cy="541020"/>
        </a:xfrm>
        <a:prstGeom prst="rect">
          <a:avLst/>
        </a:prstGeom>
      </xdr:spPr>
    </xdr:pic>
    <xdr:clientData/>
  </xdr:twoCellAnchor>
  <xdr:twoCellAnchor editAs="oneCell">
    <xdr:from>
      <xdr:col>6</xdr:col>
      <xdr:colOff>365175</xdr:colOff>
      <xdr:row>49</xdr:row>
      <xdr:rowOff>5472</xdr:rowOff>
    </xdr:from>
    <xdr:to>
      <xdr:col>6</xdr:col>
      <xdr:colOff>977355</xdr:colOff>
      <xdr:row>51</xdr:row>
      <xdr:rowOff>175847</xdr:rowOff>
    </xdr:to>
    <xdr:pic>
      <xdr:nvPicPr>
        <xdr:cNvPr id="4" name="5 Imagen">
          <a:extLst>
            <a:ext uri="{FF2B5EF4-FFF2-40B4-BE49-F238E27FC236}">
              <a16:creationId xmlns:a16="http://schemas.microsoft.com/office/drawing/2014/main" id="{E0FB439D-BEA6-4549-8B63-11A8490EF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75400" y="7053972"/>
          <a:ext cx="612180" cy="551375"/>
        </a:xfrm>
        <a:prstGeom prst="rect">
          <a:avLst/>
        </a:prstGeom>
      </xdr:spPr>
    </xdr:pic>
    <xdr:clientData/>
  </xdr:twoCellAnchor>
  <xdr:twoCellAnchor editAs="oneCell">
    <xdr:from>
      <xdr:col>6</xdr:col>
      <xdr:colOff>156307</xdr:colOff>
      <xdr:row>52</xdr:row>
      <xdr:rowOff>25594</xdr:rowOff>
    </xdr:from>
    <xdr:to>
      <xdr:col>7</xdr:col>
      <xdr:colOff>153097</xdr:colOff>
      <xdr:row>54</xdr:row>
      <xdr:rowOff>147513</xdr:rowOff>
    </xdr:to>
    <xdr:pic>
      <xdr:nvPicPr>
        <xdr:cNvPr id="5" name="6 Imagen">
          <a:extLst>
            <a:ext uri="{FF2B5EF4-FFF2-40B4-BE49-F238E27FC236}">
              <a16:creationId xmlns:a16="http://schemas.microsoft.com/office/drawing/2014/main" id="{A6A11D66-76B1-4125-8F5F-B736E9EE4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66532" y="7645594"/>
          <a:ext cx="977865" cy="502919"/>
        </a:xfrm>
        <a:prstGeom prst="rect">
          <a:avLst/>
        </a:prstGeom>
      </xdr:spPr>
    </xdr:pic>
    <xdr:clientData/>
  </xdr:twoCellAnchor>
  <xdr:twoCellAnchor>
    <xdr:from>
      <xdr:col>9</xdr:col>
      <xdr:colOff>128222</xdr:colOff>
      <xdr:row>4</xdr:row>
      <xdr:rowOff>65948</xdr:rowOff>
    </xdr:from>
    <xdr:to>
      <xdr:col>14</xdr:col>
      <xdr:colOff>638222</xdr:colOff>
      <xdr:row>17</xdr:row>
      <xdr:rowOff>109448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3C37AF5-F379-4AB9-809B-222FE2498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128222</xdr:colOff>
      <xdr:row>17</xdr:row>
      <xdr:rowOff>175852</xdr:rowOff>
    </xdr:from>
    <xdr:to>
      <xdr:col>14</xdr:col>
      <xdr:colOff>638222</xdr:colOff>
      <xdr:row>31</xdr:row>
      <xdr:rowOff>28852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6EBD478-C9F2-49AC-92EA-2B749ED5AB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319849</xdr:colOff>
      <xdr:row>40</xdr:row>
      <xdr:rowOff>22860</xdr:rowOff>
    </xdr:from>
    <xdr:to>
      <xdr:col>7</xdr:col>
      <xdr:colOff>16584</xdr:colOff>
      <xdr:row>42</xdr:row>
      <xdr:rowOff>167640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87E2F15E-10E5-474C-BFE0-CC15ABF70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0074" y="7833360"/>
          <a:ext cx="677810" cy="525780"/>
        </a:xfrm>
        <a:prstGeom prst="rect">
          <a:avLst/>
        </a:prstGeom>
      </xdr:spPr>
    </xdr:pic>
    <xdr:clientData/>
  </xdr:twoCellAnchor>
  <xdr:twoCellAnchor editAs="oneCell">
    <xdr:from>
      <xdr:col>2</xdr:col>
      <xdr:colOff>777240</xdr:colOff>
      <xdr:row>35</xdr:row>
      <xdr:rowOff>15240</xdr:rowOff>
    </xdr:from>
    <xdr:to>
      <xdr:col>3</xdr:col>
      <xdr:colOff>876702</xdr:colOff>
      <xdr:row>37</xdr:row>
      <xdr:rowOff>175260</xdr:rowOff>
    </xdr:to>
    <xdr:pic>
      <xdr:nvPicPr>
        <xdr:cNvPr id="3" name="3 Imagen">
          <a:extLst>
            <a:ext uri="{FF2B5EF4-FFF2-40B4-BE49-F238E27FC236}">
              <a16:creationId xmlns:a16="http://schemas.microsoft.com/office/drawing/2014/main" id="{DA15E987-7E21-44CA-AA97-43AD709C8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3165" y="6873240"/>
          <a:ext cx="1080537" cy="541020"/>
        </a:xfrm>
        <a:prstGeom prst="rect">
          <a:avLst/>
        </a:prstGeom>
      </xdr:spPr>
    </xdr:pic>
    <xdr:clientData/>
  </xdr:twoCellAnchor>
  <xdr:twoCellAnchor editAs="oneCell">
    <xdr:from>
      <xdr:col>6</xdr:col>
      <xdr:colOff>365175</xdr:colOff>
      <xdr:row>49</xdr:row>
      <xdr:rowOff>5472</xdr:rowOff>
    </xdr:from>
    <xdr:to>
      <xdr:col>6</xdr:col>
      <xdr:colOff>977355</xdr:colOff>
      <xdr:row>51</xdr:row>
      <xdr:rowOff>175847</xdr:rowOff>
    </xdr:to>
    <xdr:pic>
      <xdr:nvPicPr>
        <xdr:cNvPr id="4" name="5 Imagen">
          <a:extLst>
            <a:ext uri="{FF2B5EF4-FFF2-40B4-BE49-F238E27FC236}">
              <a16:creationId xmlns:a16="http://schemas.microsoft.com/office/drawing/2014/main" id="{CA6DBDCA-59E4-4DE0-85FD-9D55C8C99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75400" y="9530472"/>
          <a:ext cx="612180" cy="551375"/>
        </a:xfrm>
        <a:prstGeom prst="rect">
          <a:avLst/>
        </a:prstGeom>
      </xdr:spPr>
    </xdr:pic>
    <xdr:clientData/>
  </xdr:twoCellAnchor>
  <xdr:twoCellAnchor editAs="oneCell">
    <xdr:from>
      <xdr:col>6</xdr:col>
      <xdr:colOff>156307</xdr:colOff>
      <xdr:row>52</xdr:row>
      <xdr:rowOff>25594</xdr:rowOff>
    </xdr:from>
    <xdr:to>
      <xdr:col>7</xdr:col>
      <xdr:colOff>153097</xdr:colOff>
      <xdr:row>54</xdr:row>
      <xdr:rowOff>147513</xdr:rowOff>
    </xdr:to>
    <xdr:pic>
      <xdr:nvPicPr>
        <xdr:cNvPr id="5" name="6 Imagen">
          <a:extLst>
            <a:ext uri="{FF2B5EF4-FFF2-40B4-BE49-F238E27FC236}">
              <a16:creationId xmlns:a16="http://schemas.microsoft.com/office/drawing/2014/main" id="{6BC4863E-639A-4F07-8325-EB300334F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66532" y="10122094"/>
          <a:ext cx="977865" cy="502919"/>
        </a:xfrm>
        <a:prstGeom prst="rect">
          <a:avLst/>
        </a:prstGeom>
      </xdr:spPr>
    </xdr:pic>
    <xdr:clientData/>
  </xdr:twoCellAnchor>
  <xdr:twoCellAnchor>
    <xdr:from>
      <xdr:col>9</xdr:col>
      <xdr:colOff>135548</xdr:colOff>
      <xdr:row>4</xdr:row>
      <xdr:rowOff>43967</xdr:rowOff>
    </xdr:from>
    <xdr:to>
      <xdr:col>14</xdr:col>
      <xdr:colOff>645548</xdr:colOff>
      <xdr:row>17</xdr:row>
      <xdr:rowOff>87467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90E11FE-60DA-4E38-A1DD-B02AA95B0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128222</xdr:colOff>
      <xdr:row>17</xdr:row>
      <xdr:rowOff>139217</xdr:rowOff>
    </xdr:from>
    <xdr:to>
      <xdr:col>14</xdr:col>
      <xdr:colOff>638222</xdr:colOff>
      <xdr:row>30</xdr:row>
      <xdr:rowOff>182717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34D93C0-59CC-4CC6-8E64-AC6168FB7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F6BE-5EE0-41BC-A2E4-3F578388DDB6}">
  <sheetPr>
    <pageSetUpPr fitToPage="1"/>
  </sheetPr>
  <dimension ref="A1:K65"/>
  <sheetViews>
    <sheetView showGridLines="0" tabSelected="1" zoomScaleNormal="100" workbookViewId="0">
      <pane ySplit="4" topLeftCell="A5" activePane="bottomLeft" state="frozen"/>
      <selection pane="bottomLeft" activeCell="A5" sqref="A5"/>
    </sheetView>
  </sheetViews>
  <sheetFormatPr baseColWidth="10" defaultRowHeight="15" x14ac:dyDescent="0.25"/>
  <cols>
    <col min="1" max="1" width="10.5703125" customWidth="1"/>
    <col min="2" max="8" width="14.7109375" customWidth="1"/>
  </cols>
  <sheetData>
    <row r="1" spans="1:11" x14ac:dyDescent="0.25">
      <c r="A1" s="30" t="s">
        <v>41</v>
      </c>
    </row>
    <row r="3" spans="1:11" x14ac:dyDescent="0.25">
      <c r="B3" s="1" t="s">
        <v>1</v>
      </c>
      <c r="C3" s="1" t="s">
        <v>2</v>
      </c>
      <c r="D3" s="18" t="s">
        <v>4</v>
      </c>
      <c r="E3" s="18" t="s">
        <v>5</v>
      </c>
      <c r="G3" s="18"/>
      <c r="H3" s="18"/>
      <c r="I3" s="19"/>
      <c r="J3" s="19"/>
      <c r="K3" s="19"/>
    </row>
    <row r="4" spans="1:11" ht="30" x14ac:dyDescent="0.25">
      <c r="A4" s="2" t="s">
        <v>0</v>
      </c>
      <c r="B4" s="3" t="s">
        <v>43</v>
      </c>
      <c r="C4" s="3" t="s">
        <v>44</v>
      </c>
      <c r="D4" s="20" t="s">
        <v>15</v>
      </c>
      <c r="E4" s="20" t="s">
        <v>16</v>
      </c>
      <c r="F4" s="20" t="s">
        <v>6</v>
      </c>
      <c r="G4" s="20" t="s">
        <v>7</v>
      </c>
      <c r="H4" s="20" t="s">
        <v>28</v>
      </c>
    </row>
    <row r="5" spans="1:11" x14ac:dyDescent="0.25">
      <c r="A5" s="2">
        <v>1</v>
      </c>
      <c r="B5" s="2">
        <v>1</v>
      </c>
      <c r="C5" s="2">
        <v>100</v>
      </c>
      <c r="D5" s="24">
        <f t="shared" ref="D5:D28" si="0">B5-$B$32</f>
        <v>-11.5</v>
      </c>
      <c r="E5" s="25">
        <f t="shared" ref="E5:E28" si="1">C5-$B$33</f>
        <v>-577.5</v>
      </c>
      <c r="F5" s="26">
        <f>D5^2</f>
        <v>132.25</v>
      </c>
      <c r="G5" s="25">
        <f>E5^2</f>
        <v>333506.25</v>
      </c>
      <c r="H5" s="27">
        <f>D5*E5</f>
        <v>6641.25</v>
      </c>
    </row>
    <row r="6" spans="1:11" x14ac:dyDescent="0.25">
      <c r="A6" s="2">
        <v>2</v>
      </c>
      <c r="B6" s="2">
        <v>2</v>
      </c>
      <c r="C6" s="2">
        <v>160</v>
      </c>
      <c r="D6" s="24">
        <f t="shared" si="0"/>
        <v>-10.5</v>
      </c>
      <c r="E6" s="25">
        <f t="shared" si="1"/>
        <v>-517.5</v>
      </c>
      <c r="F6" s="26">
        <f t="shared" ref="F6:F28" si="2">D6^2</f>
        <v>110.25</v>
      </c>
      <c r="G6" s="25">
        <f t="shared" ref="G6:G28" si="3">E6^2</f>
        <v>267806.25</v>
      </c>
      <c r="H6" s="27">
        <f t="shared" ref="H6:H28" si="4">D6*E6</f>
        <v>5433.75</v>
      </c>
    </row>
    <row r="7" spans="1:11" x14ac:dyDescent="0.25">
      <c r="A7" s="2">
        <v>3</v>
      </c>
      <c r="B7" s="2">
        <v>3</v>
      </c>
      <c r="C7" s="2">
        <v>210</v>
      </c>
      <c r="D7" s="24">
        <f t="shared" si="0"/>
        <v>-9.5</v>
      </c>
      <c r="E7" s="25">
        <f t="shared" si="1"/>
        <v>-467.5</v>
      </c>
      <c r="F7" s="26">
        <f t="shared" si="2"/>
        <v>90.25</v>
      </c>
      <c r="G7" s="25">
        <f t="shared" si="3"/>
        <v>218556.25</v>
      </c>
      <c r="H7" s="27">
        <f t="shared" si="4"/>
        <v>4441.25</v>
      </c>
    </row>
    <row r="8" spans="1:11" x14ac:dyDescent="0.25">
      <c r="A8" s="2">
        <v>4</v>
      </c>
      <c r="B8" s="2">
        <v>4</v>
      </c>
      <c r="C8" s="2">
        <v>220</v>
      </c>
      <c r="D8" s="24">
        <f t="shared" si="0"/>
        <v>-8.5</v>
      </c>
      <c r="E8" s="25">
        <f t="shared" si="1"/>
        <v>-457.5</v>
      </c>
      <c r="F8" s="26">
        <f t="shared" si="2"/>
        <v>72.25</v>
      </c>
      <c r="G8" s="25">
        <f t="shared" si="3"/>
        <v>209306.25</v>
      </c>
      <c r="H8" s="27">
        <f t="shared" si="4"/>
        <v>3888.75</v>
      </c>
    </row>
    <row r="9" spans="1:11" x14ac:dyDescent="0.25">
      <c r="A9" s="2">
        <v>5</v>
      </c>
      <c r="B9" s="2">
        <v>5</v>
      </c>
      <c r="C9" s="2">
        <v>280</v>
      </c>
      <c r="D9" s="24">
        <f t="shared" si="0"/>
        <v>-7.5</v>
      </c>
      <c r="E9" s="25">
        <f t="shared" si="1"/>
        <v>-397.5</v>
      </c>
      <c r="F9" s="26">
        <f t="shared" si="2"/>
        <v>56.25</v>
      </c>
      <c r="G9" s="25">
        <f t="shared" si="3"/>
        <v>158006.25</v>
      </c>
      <c r="H9" s="27">
        <f t="shared" si="4"/>
        <v>2981.25</v>
      </c>
    </row>
    <row r="10" spans="1:11" x14ac:dyDescent="0.25">
      <c r="A10" s="2">
        <v>6</v>
      </c>
      <c r="B10" s="2">
        <v>6</v>
      </c>
      <c r="C10" s="2">
        <v>350</v>
      </c>
      <c r="D10" s="24">
        <f t="shared" si="0"/>
        <v>-6.5</v>
      </c>
      <c r="E10" s="25">
        <f t="shared" si="1"/>
        <v>-327.5</v>
      </c>
      <c r="F10" s="26">
        <f t="shared" si="2"/>
        <v>42.25</v>
      </c>
      <c r="G10" s="25">
        <f t="shared" si="3"/>
        <v>107256.25</v>
      </c>
      <c r="H10" s="27">
        <f t="shared" si="4"/>
        <v>2128.75</v>
      </c>
    </row>
    <row r="11" spans="1:11" x14ac:dyDescent="0.25">
      <c r="A11" s="2">
        <v>7</v>
      </c>
      <c r="B11" s="2">
        <v>7</v>
      </c>
      <c r="C11" s="2">
        <v>390</v>
      </c>
      <c r="D11" s="24">
        <f t="shared" si="0"/>
        <v>-5.5</v>
      </c>
      <c r="E11" s="25">
        <f t="shared" si="1"/>
        <v>-287.5</v>
      </c>
      <c r="F11" s="26">
        <f t="shared" si="2"/>
        <v>30.25</v>
      </c>
      <c r="G11" s="25">
        <f t="shared" si="3"/>
        <v>82656.25</v>
      </c>
      <c r="H11" s="27">
        <f t="shared" si="4"/>
        <v>1581.25</v>
      </c>
    </row>
    <row r="12" spans="1:11" x14ac:dyDescent="0.25">
      <c r="A12" s="2">
        <v>8</v>
      </c>
      <c r="B12" s="2">
        <v>8</v>
      </c>
      <c r="C12" s="2">
        <v>470</v>
      </c>
      <c r="D12" s="24">
        <f t="shared" si="0"/>
        <v>-4.5</v>
      </c>
      <c r="E12" s="25">
        <f t="shared" si="1"/>
        <v>-207.5</v>
      </c>
      <c r="F12" s="26">
        <f t="shared" si="2"/>
        <v>20.25</v>
      </c>
      <c r="G12" s="25">
        <f t="shared" si="3"/>
        <v>43056.25</v>
      </c>
      <c r="H12" s="27">
        <f t="shared" si="4"/>
        <v>933.75</v>
      </c>
    </row>
    <row r="13" spans="1:11" x14ac:dyDescent="0.25">
      <c r="A13" s="2">
        <v>9</v>
      </c>
      <c r="B13" s="2">
        <v>9</v>
      </c>
      <c r="C13" s="2">
        <v>500</v>
      </c>
      <c r="D13" s="24">
        <f t="shared" si="0"/>
        <v>-3.5</v>
      </c>
      <c r="E13" s="25">
        <f t="shared" si="1"/>
        <v>-177.5</v>
      </c>
      <c r="F13" s="26">
        <f t="shared" si="2"/>
        <v>12.25</v>
      </c>
      <c r="G13" s="25">
        <f t="shared" si="3"/>
        <v>31506.25</v>
      </c>
      <c r="H13" s="27">
        <f t="shared" si="4"/>
        <v>621.25</v>
      </c>
    </row>
    <row r="14" spans="1:11" x14ac:dyDescent="0.25">
      <c r="A14" s="2">
        <v>10</v>
      </c>
      <c r="B14" s="2">
        <v>10</v>
      </c>
      <c r="C14" s="2">
        <v>540</v>
      </c>
      <c r="D14" s="24">
        <f t="shared" si="0"/>
        <v>-2.5</v>
      </c>
      <c r="E14" s="25">
        <f t="shared" si="1"/>
        <v>-137.5</v>
      </c>
      <c r="F14" s="26">
        <f t="shared" si="2"/>
        <v>6.25</v>
      </c>
      <c r="G14" s="25">
        <f t="shared" si="3"/>
        <v>18906.25</v>
      </c>
      <c r="H14" s="27">
        <f t="shared" si="4"/>
        <v>343.75</v>
      </c>
    </row>
    <row r="15" spans="1:11" x14ac:dyDescent="0.25">
      <c r="A15" s="2">
        <v>11</v>
      </c>
      <c r="B15" s="2">
        <v>11</v>
      </c>
      <c r="C15" s="2">
        <v>580</v>
      </c>
      <c r="D15" s="24">
        <f t="shared" si="0"/>
        <v>-1.5</v>
      </c>
      <c r="E15" s="25">
        <f t="shared" si="1"/>
        <v>-97.5</v>
      </c>
      <c r="F15" s="26">
        <f t="shared" si="2"/>
        <v>2.25</v>
      </c>
      <c r="G15" s="25">
        <f t="shared" si="3"/>
        <v>9506.25</v>
      </c>
      <c r="H15" s="27">
        <f t="shared" si="4"/>
        <v>146.25</v>
      </c>
    </row>
    <row r="16" spans="1:11" x14ac:dyDescent="0.25">
      <c r="A16" s="2">
        <v>12</v>
      </c>
      <c r="B16" s="2">
        <v>12</v>
      </c>
      <c r="C16" s="2">
        <v>650</v>
      </c>
      <c r="D16" s="24">
        <f t="shared" si="0"/>
        <v>-0.5</v>
      </c>
      <c r="E16" s="25">
        <f t="shared" si="1"/>
        <v>-27.5</v>
      </c>
      <c r="F16" s="26">
        <f t="shared" si="2"/>
        <v>0.25</v>
      </c>
      <c r="G16" s="25">
        <f t="shared" si="3"/>
        <v>756.25</v>
      </c>
      <c r="H16" s="27">
        <f t="shared" si="4"/>
        <v>13.75</v>
      </c>
    </row>
    <row r="17" spans="1:8" x14ac:dyDescent="0.25">
      <c r="A17" s="2">
        <v>13</v>
      </c>
      <c r="B17" s="2">
        <v>13</v>
      </c>
      <c r="C17" s="2">
        <v>700</v>
      </c>
      <c r="D17" s="24">
        <f t="shared" si="0"/>
        <v>0.5</v>
      </c>
      <c r="E17" s="25">
        <f t="shared" si="1"/>
        <v>22.5</v>
      </c>
      <c r="F17" s="26">
        <f t="shared" si="2"/>
        <v>0.25</v>
      </c>
      <c r="G17" s="25">
        <f t="shared" si="3"/>
        <v>506.25</v>
      </c>
      <c r="H17" s="27">
        <f t="shared" si="4"/>
        <v>11.25</v>
      </c>
    </row>
    <row r="18" spans="1:8" x14ac:dyDescent="0.25">
      <c r="A18" s="2">
        <v>14</v>
      </c>
      <c r="B18" s="2">
        <v>14</v>
      </c>
      <c r="C18" s="2">
        <v>720</v>
      </c>
      <c r="D18" s="24">
        <f t="shared" si="0"/>
        <v>1.5</v>
      </c>
      <c r="E18" s="25">
        <f t="shared" si="1"/>
        <v>42.5</v>
      </c>
      <c r="F18" s="26">
        <f t="shared" si="2"/>
        <v>2.25</v>
      </c>
      <c r="G18" s="25">
        <f t="shared" si="3"/>
        <v>1806.25</v>
      </c>
      <c r="H18" s="27">
        <f t="shared" si="4"/>
        <v>63.75</v>
      </c>
    </row>
    <row r="19" spans="1:8" x14ac:dyDescent="0.25">
      <c r="A19" s="2">
        <v>15</v>
      </c>
      <c r="B19" s="2">
        <v>15</v>
      </c>
      <c r="C19" s="2">
        <v>810</v>
      </c>
      <c r="D19" s="24">
        <f t="shared" si="0"/>
        <v>2.5</v>
      </c>
      <c r="E19" s="25">
        <f t="shared" si="1"/>
        <v>132.5</v>
      </c>
      <c r="F19" s="26">
        <f t="shared" si="2"/>
        <v>6.25</v>
      </c>
      <c r="G19" s="25">
        <f t="shared" si="3"/>
        <v>17556.25</v>
      </c>
      <c r="H19" s="27">
        <f t="shared" si="4"/>
        <v>331.25</v>
      </c>
    </row>
    <row r="20" spans="1:8" x14ac:dyDescent="0.25">
      <c r="A20" s="2">
        <v>16</v>
      </c>
      <c r="B20" s="2">
        <v>16</v>
      </c>
      <c r="C20" s="2">
        <v>860</v>
      </c>
      <c r="D20" s="24">
        <f t="shared" si="0"/>
        <v>3.5</v>
      </c>
      <c r="E20" s="25">
        <f t="shared" si="1"/>
        <v>182.5</v>
      </c>
      <c r="F20" s="26">
        <f t="shared" si="2"/>
        <v>12.25</v>
      </c>
      <c r="G20" s="25">
        <f t="shared" si="3"/>
        <v>33306.25</v>
      </c>
      <c r="H20" s="27">
        <f t="shared" si="4"/>
        <v>638.75</v>
      </c>
    </row>
    <row r="21" spans="1:8" x14ac:dyDescent="0.25">
      <c r="A21" s="2">
        <v>17</v>
      </c>
      <c r="B21" s="2">
        <v>17</v>
      </c>
      <c r="C21" s="2">
        <v>920</v>
      </c>
      <c r="D21" s="24">
        <f t="shared" si="0"/>
        <v>4.5</v>
      </c>
      <c r="E21" s="25">
        <f t="shared" si="1"/>
        <v>242.5</v>
      </c>
      <c r="F21" s="26">
        <f t="shared" si="2"/>
        <v>20.25</v>
      </c>
      <c r="G21" s="25">
        <f t="shared" si="3"/>
        <v>58806.25</v>
      </c>
      <c r="H21" s="27">
        <f t="shared" si="4"/>
        <v>1091.25</v>
      </c>
    </row>
    <row r="22" spans="1:8" x14ac:dyDescent="0.25">
      <c r="A22" s="2">
        <v>18</v>
      </c>
      <c r="B22" s="2">
        <v>18</v>
      </c>
      <c r="C22" s="2">
        <v>1000</v>
      </c>
      <c r="D22" s="24">
        <f t="shared" si="0"/>
        <v>5.5</v>
      </c>
      <c r="E22" s="25">
        <f t="shared" si="1"/>
        <v>322.5</v>
      </c>
      <c r="F22" s="26">
        <f t="shared" si="2"/>
        <v>30.25</v>
      </c>
      <c r="G22" s="25">
        <f t="shared" si="3"/>
        <v>104006.25</v>
      </c>
      <c r="H22" s="27">
        <f t="shared" si="4"/>
        <v>1773.75</v>
      </c>
    </row>
    <row r="23" spans="1:8" x14ac:dyDescent="0.25">
      <c r="A23" s="2">
        <v>19</v>
      </c>
      <c r="B23" s="2">
        <v>19</v>
      </c>
      <c r="C23" s="2">
        <v>1020</v>
      </c>
      <c r="D23" s="24">
        <f t="shared" si="0"/>
        <v>6.5</v>
      </c>
      <c r="E23" s="25">
        <f t="shared" si="1"/>
        <v>342.5</v>
      </c>
      <c r="F23" s="26">
        <f t="shared" si="2"/>
        <v>42.25</v>
      </c>
      <c r="G23" s="25">
        <f t="shared" si="3"/>
        <v>117306.25</v>
      </c>
      <c r="H23" s="27">
        <f t="shared" si="4"/>
        <v>2226.25</v>
      </c>
    </row>
    <row r="24" spans="1:8" x14ac:dyDescent="0.25">
      <c r="A24" s="2">
        <v>20</v>
      </c>
      <c r="B24" s="2">
        <v>20</v>
      </c>
      <c r="C24" s="2">
        <v>1080</v>
      </c>
      <c r="D24" s="24">
        <f t="shared" si="0"/>
        <v>7.5</v>
      </c>
      <c r="E24" s="25">
        <f t="shared" si="1"/>
        <v>402.5</v>
      </c>
      <c r="F24" s="26">
        <f t="shared" si="2"/>
        <v>56.25</v>
      </c>
      <c r="G24" s="25">
        <f t="shared" si="3"/>
        <v>162006.25</v>
      </c>
      <c r="H24" s="27">
        <f t="shared" si="4"/>
        <v>3018.75</v>
      </c>
    </row>
    <row r="25" spans="1:8" x14ac:dyDescent="0.25">
      <c r="A25" s="2">
        <v>21</v>
      </c>
      <c r="B25" s="2">
        <v>21</v>
      </c>
      <c r="C25" s="2">
        <v>1090</v>
      </c>
      <c r="D25" s="24">
        <f t="shared" si="0"/>
        <v>8.5</v>
      </c>
      <c r="E25" s="25">
        <f t="shared" si="1"/>
        <v>412.5</v>
      </c>
      <c r="F25" s="26">
        <f t="shared" si="2"/>
        <v>72.25</v>
      </c>
      <c r="G25" s="25">
        <f t="shared" si="3"/>
        <v>170156.25</v>
      </c>
      <c r="H25" s="27">
        <f t="shared" si="4"/>
        <v>3506.25</v>
      </c>
    </row>
    <row r="26" spans="1:8" x14ac:dyDescent="0.25">
      <c r="A26" s="2">
        <v>22</v>
      </c>
      <c r="B26" s="2">
        <v>22</v>
      </c>
      <c r="C26" s="2">
        <v>1150</v>
      </c>
      <c r="D26" s="24">
        <f t="shared" si="0"/>
        <v>9.5</v>
      </c>
      <c r="E26" s="25">
        <f t="shared" si="1"/>
        <v>472.5</v>
      </c>
      <c r="F26" s="26">
        <f t="shared" si="2"/>
        <v>90.25</v>
      </c>
      <c r="G26" s="25">
        <f t="shared" si="3"/>
        <v>223256.25</v>
      </c>
      <c r="H26" s="27">
        <f t="shared" si="4"/>
        <v>4488.75</v>
      </c>
    </row>
    <row r="27" spans="1:8" x14ac:dyDescent="0.25">
      <c r="A27" s="2">
        <v>23</v>
      </c>
      <c r="B27" s="2">
        <v>23</v>
      </c>
      <c r="C27" s="2">
        <v>1210</v>
      </c>
      <c r="D27" s="24">
        <f t="shared" si="0"/>
        <v>10.5</v>
      </c>
      <c r="E27" s="25">
        <f t="shared" si="1"/>
        <v>532.5</v>
      </c>
      <c r="F27" s="26">
        <f t="shared" si="2"/>
        <v>110.25</v>
      </c>
      <c r="G27" s="25">
        <f t="shared" si="3"/>
        <v>283556.25</v>
      </c>
      <c r="H27" s="27">
        <f t="shared" si="4"/>
        <v>5591.25</v>
      </c>
    </row>
    <row r="28" spans="1:8" x14ac:dyDescent="0.25">
      <c r="A28" s="2">
        <v>24</v>
      </c>
      <c r="B28" s="2">
        <v>24</v>
      </c>
      <c r="C28" s="2">
        <v>1250</v>
      </c>
      <c r="D28" s="24">
        <f t="shared" si="0"/>
        <v>11.5</v>
      </c>
      <c r="E28" s="25">
        <f t="shared" si="1"/>
        <v>572.5</v>
      </c>
      <c r="F28" s="26">
        <f t="shared" si="2"/>
        <v>132.25</v>
      </c>
      <c r="G28" s="25">
        <f t="shared" si="3"/>
        <v>327756.25</v>
      </c>
      <c r="H28" s="27">
        <f t="shared" si="4"/>
        <v>6583.75</v>
      </c>
    </row>
    <row r="29" spans="1:8" x14ac:dyDescent="0.25">
      <c r="A29" s="4" t="s">
        <v>3</v>
      </c>
      <c r="B29" s="4">
        <f>SUM(B5:B28)</f>
        <v>300</v>
      </c>
      <c r="C29" s="4">
        <f>SUM(C5:C28)</f>
        <v>16260</v>
      </c>
      <c r="D29" s="23"/>
      <c r="E29" s="23"/>
      <c r="F29" s="26">
        <f>SUM(F5:F28)</f>
        <v>1150</v>
      </c>
      <c r="G29" s="25">
        <f>SUM(G5:G28)</f>
        <v>2980850</v>
      </c>
      <c r="H29" s="27">
        <f>SUM(H5:H28)</f>
        <v>58480</v>
      </c>
    </row>
    <row r="31" spans="1:8" x14ac:dyDescent="0.25">
      <c r="A31" s="7" t="s">
        <v>12</v>
      </c>
      <c r="B31" s="8">
        <f>COUNT(A5:A28)</f>
        <v>24</v>
      </c>
      <c r="G31" s="16"/>
    </row>
    <row r="32" spans="1:8" x14ac:dyDescent="0.25">
      <c r="A32" s="7" t="s">
        <v>8</v>
      </c>
      <c r="B32" s="8">
        <f>AVERAGE(B5:B28)</f>
        <v>12.5</v>
      </c>
      <c r="G32" s="16"/>
    </row>
    <row r="33" spans="1:8" x14ac:dyDescent="0.25">
      <c r="A33" s="7" t="s">
        <v>9</v>
      </c>
      <c r="B33" s="8">
        <f>AVERAGE(C5:C28)</f>
        <v>677.5</v>
      </c>
      <c r="G33" s="16"/>
    </row>
    <row r="34" spans="1:8" x14ac:dyDescent="0.25">
      <c r="A34" s="6"/>
      <c r="G34" s="17"/>
    </row>
    <row r="35" spans="1:8" x14ac:dyDescent="0.25">
      <c r="A35" s="7" t="s">
        <v>11</v>
      </c>
      <c r="B35" s="12">
        <f>SQRT(F29/B31)</f>
        <v>6.9221865524317288</v>
      </c>
    </row>
    <row r="36" spans="1:8" x14ac:dyDescent="0.25">
      <c r="A36" s="7" t="s">
        <v>10</v>
      </c>
      <c r="B36" s="12">
        <f>SQRT(G29/B31)</f>
        <v>352.42315947356997</v>
      </c>
    </row>
    <row r="37" spans="1:8" x14ac:dyDescent="0.25">
      <c r="A37" s="7" t="s">
        <v>13</v>
      </c>
      <c r="B37" s="28">
        <f>H29/B31</f>
        <v>2436.6666666666665</v>
      </c>
      <c r="C37" s="5" t="s">
        <v>18</v>
      </c>
    </row>
    <row r="38" spans="1:8" x14ac:dyDescent="0.25">
      <c r="A38" s="9"/>
      <c r="B38" s="10"/>
      <c r="C38" s="5"/>
    </row>
    <row r="39" spans="1:8" x14ac:dyDescent="0.25">
      <c r="A39" s="9"/>
      <c r="B39" s="10"/>
      <c r="C39" s="5"/>
    </row>
    <row r="40" spans="1:8" x14ac:dyDescent="0.25">
      <c r="A40" s="11" t="s">
        <v>19</v>
      </c>
      <c r="B40" s="10"/>
      <c r="C40" s="5"/>
    </row>
    <row r="41" spans="1:8" x14ac:dyDescent="0.25">
      <c r="A41" s="6"/>
    </row>
    <row r="42" spans="1:8" x14ac:dyDescent="0.25">
      <c r="A42" s="7" t="s">
        <v>14</v>
      </c>
      <c r="B42" s="36">
        <f>B37/(B35*B36)</f>
        <v>0.99882265101022139</v>
      </c>
      <c r="C42" s="5" t="s">
        <v>17</v>
      </c>
    </row>
    <row r="43" spans="1:8" x14ac:dyDescent="0.25">
      <c r="A43" s="6"/>
    </row>
    <row r="44" spans="1:8" x14ac:dyDescent="0.25">
      <c r="A44" s="6"/>
    </row>
    <row r="45" spans="1:8" x14ac:dyDescent="0.25">
      <c r="A45" s="40" t="s">
        <v>37</v>
      </c>
      <c r="B45" s="40"/>
      <c r="D45" s="40" t="s">
        <v>40</v>
      </c>
      <c r="E45" s="40"/>
      <c r="F45" s="40"/>
      <c r="G45" s="40"/>
      <c r="H45" s="40"/>
    </row>
    <row r="46" spans="1:8" x14ac:dyDescent="0.25">
      <c r="A46" s="21" t="s">
        <v>30</v>
      </c>
      <c r="B46" s="22" t="s">
        <v>32</v>
      </c>
      <c r="D46" s="21" t="s">
        <v>35</v>
      </c>
      <c r="E46" s="41" t="s">
        <v>38</v>
      </c>
      <c r="F46" s="41"/>
      <c r="G46" s="41"/>
      <c r="H46" s="41"/>
    </row>
    <row r="47" spans="1:8" x14ac:dyDescent="0.25">
      <c r="A47" s="21" t="s">
        <v>29</v>
      </c>
      <c r="B47" s="22" t="s">
        <v>33</v>
      </c>
      <c r="D47" s="21" t="s">
        <v>36</v>
      </c>
      <c r="E47" s="41" t="s">
        <v>39</v>
      </c>
      <c r="F47" s="41"/>
      <c r="G47" s="41"/>
      <c r="H47" s="41"/>
    </row>
    <row r="48" spans="1:8" x14ac:dyDescent="0.25">
      <c r="A48" s="21" t="s">
        <v>31</v>
      </c>
      <c r="B48" s="22" t="s">
        <v>34</v>
      </c>
    </row>
    <row r="51" spans="1:4" x14ac:dyDescent="0.25">
      <c r="A51" s="14" t="s">
        <v>20</v>
      </c>
      <c r="B51" s="13">
        <f>B37/(B35^2)</f>
        <v>50.85217391304348</v>
      </c>
      <c r="C51" s="5" t="s">
        <v>22</v>
      </c>
    </row>
    <row r="54" spans="1:4" x14ac:dyDescent="0.25">
      <c r="A54" s="14" t="s">
        <v>21</v>
      </c>
      <c r="B54" s="13">
        <f>B33-(B51*B32)</f>
        <v>41.847826086956502</v>
      </c>
      <c r="C54" s="5" t="s">
        <v>23</v>
      </c>
    </row>
    <row r="57" spans="1:4" x14ac:dyDescent="0.25">
      <c r="A57" s="14" t="s">
        <v>24</v>
      </c>
      <c r="B57" s="42" t="str">
        <f>ROUND(B54,2) &amp; IF(B51&lt;0," - "," + ") &amp; ROUND(ABS(B51),2) &amp; "x"</f>
        <v>41.85 + 50.85x</v>
      </c>
      <c r="C57" s="43"/>
      <c r="D57" s="5" t="s">
        <v>25</v>
      </c>
    </row>
    <row r="60" spans="1:4" x14ac:dyDescent="0.25">
      <c r="A60" s="15" t="s">
        <v>26</v>
      </c>
      <c r="B60" s="34">
        <v>25</v>
      </c>
      <c r="C60" s="5" t="str">
        <f>B4 &amp; " (pruebe cambiar éste valor por otros) (variable independiente)."</f>
        <v>Mes (pruebe cambiar éste valor por otros) (variable independiente).</v>
      </c>
    </row>
    <row r="61" spans="1:4" x14ac:dyDescent="0.25">
      <c r="A61" s="15" t="s">
        <v>27</v>
      </c>
      <c r="B61" s="35">
        <f>ROUND(B54+(B51*B60),0)</f>
        <v>1313</v>
      </c>
      <c r="C61" s="5" t="str">
        <f>C4 &amp; " (pronósticamos éste valor) (variable dependiente)."</f>
        <v>Unidades vendidas (pronósticamos éste valor) (variable dependiente).</v>
      </c>
    </row>
    <row r="65" spans="3:3" x14ac:dyDescent="0.25">
      <c r="C65" s="16"/>
    </row>
  </sheetData>
  <mergeCells count="5">
    <mergeCell ref="A45:B45"/>
    <mergeCell ref="D45:H45"/>
    <mergeCell ref="E46:H46"/>
    <mergeCell ref="E47:H47"/>
    <mergeCell ref="B57:C57"/>
  </mergeCells>
  <printOptions horizontalCentered="1"/>
  <pageMargins left="0.39370078740157483" right="0.39370078740157483" top="0.39370078740157483" bottom="0.39370078740157483" header="0" footer="0"/>
  <pageSetup scale="87" orientation="portrait" horizontalDpi="4294967293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F06BA-8565-4573-9012-51A01BADD6F6}">
  <sheetPr>
    <pageSetUpPr fitToPage="1"/>
  </sheetPr>
  <dimension ref="A1:L66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baseColWidth="10" defaultRowHeight="15" x14ac:dyDescent="0.25"/>
  <cols>
    <col min="1" max="1" width="10.5703125" customWidth="1"/>
    <col min="2" max="8" width="14.7109375" customWidth="1"/>
  </cols>
  <sheetData>
    <row r="1" spans="1:12" x14ac:dyDescent="0.25">
      <c r="A1" s="30" t="s">
        <v>64</v>
      </c>
    </row>
    <row r="3" spans="1:12" x14ac:dyDescent="0.25">
      <c r="B3" s="1" t="s">
        <v>1</v>
      </c>
      <c r="C3" s="1" t="s">
        <v>2</v>
      </c>
      <c r="D3" s="1" t="s">
        <v>42</v>
      </c>
      <c r="E3" s="18" t="s">
        <v>4</v>
      </c>
      <c r="F3" s="18" t="s">
        <v>46</v>
      </c>
      <c r="H3" s="18"/>
      <c r="I3" s="18"/>
      <c r="J3" s="19"/>
      <c r="K3" s="19"/>
      <c r="L3" s="19"/>
    </row>
    <row r="4" spans="1:12" ht="30" x14ac:dyDescent="0.25">
      <c r="A4" s="2" t="s">
        <v>0</v>
      </c>
      <c r="B4" s="3" t="s">
        <v>43</v>
      </c>
      <c r="C4" s="3" t="s">
        <v>44</v>
      </c>
      <c r="D4" s="37" t="s">
        <v>44</v>
      </c>
      <c r="E4" s="20" t="s">
        <v>15</v>
      </c>
      <c r="F4" s="20" t="s">
        <v>48</v>
      </c>
      <c r="G4" s="20" t="s">
        <v>6</v>
      </c>
      <c r="H4" s="20" t="s">
        <v>47</v>
      </c>
      <c r="I4" s="20" t="s">
        <v>49</v>
      </c>
    </row>
    <row r="5" spans="1:12" x14ac:dyDescent="0.25">
      <c r="A5" s="2">
        <v>1</v>
      </c>
      <c r="B5" s="2">
        <v>1</v>
      </c>
      <c r="C5" s="2">
        <v>90</v>
      </c>
      <c r="D5" s="38">
        <f>LN(C5)</f>
        <v>4.499809670330265</v>
      </c>
      <c r="E5" s="25">
        <f>B5-$B$32</f>
        <v>-11.5</v>
      </c>
      <c r="F5" s="26">
        <f>D5-$B$33</f>
        <v>-2.0601936859155279</v>
      </c>
      <c r="G5" s="26">
        <f>E5^2</f>
        <v>132.25</v>
      </c>
      <c r="H5" s="25">
        <f>F5^2</f>
        <v>4.2443980234862089</v>
      </c>
      <c r="I5" s="27">
        <f>E5*F5</f>
        <v>23.69222738802857</v>
      </c>
    </row>
    <row r="6" spans="1:12" x14ac:dyDescent="0.25">
      <c r="A6" s="2">
        <v>2</v>
      </c>
      <c r="B6" s="2">
        <v>2</v>
      </c>
      <c r="C6" s="2">
        <v>110</v>
      </c>
      <c r="D6" s="38">
        <f t="shared" ref="D6:D28" si="0">LN(C6)</f>
        <v>4.7004803657924166</v>
      </c>
      <c r="E6" s="25">
        <f t="shared" ref="E6:E9" si="1">B6-$B$32</f>
        <v>-10.5</v>
      </c>
      <c r="F6" s="26">
        <f t="shared" ref="F6:F9" si="2">D6-$B$33</f>
        <v>-1.8595229904533763</v>
      </c>
      <c r="G6" s="26">
        <f t="shared" ref="G6:G28" si="3">E6^2</f>
        <v>110.25</v>
      </c>
      <c r="H6" s="25">
        <f t="shared" ref="H6:H28" si="4">F6^2</f>
        <v>3.4578257520246676</v>
      </c>
      <c r="I6" s="27">
        <f t="shared" ref="I6:I28" si="5">E6*F6</f>
        <v>19.524991399760452</v>
      </c>
    </row>
    <row r="7" spans="1:12" x14ac:dyDescent="0.25">
      <c r="A7" s="2">
        <v>3</v>
      </c>
      <c r="B7" s="2">
        <v>3</v>
      </c>
      <c r="C7" s="2">
        <v>125</v>
      </c>
      <c r="D7" s="38">
        <f t="shared" si="0"/>
        <v>4.8283137373023015</v>
      </c>
      <c r="E7" s="25">
        <f t="shared" si="1"/>
        <v>-9.5</v>
      </c>
      <c r="F7" s="26">
        <f t="shared" si="2"/>
        <v>-1.7316896189434914</v>
      </c>
      <c r="G7" s="26">
        <f t="shared" si="3"/>
        <v>90.25</v>
      </c>
      <c r="H7" s="25">
        <f t="shared" si="4"/>
        <v>2.9987489363566544</v>
      </c>
      <c r="I7" s="27">
        <f t="shared" si="5"/>
        <v>16.451051379963168</v>
      </c>
    </row>
    <row r="8" spans="1:12" x14ac:dyDescent="0.25">
      <c r="A8" s="2">
        <v>4</v>
      </c>
      <c r="B8" s="2">
        <v>4</v>
      </c>
      <c r="C8" s="2">
        <v>150</v>
      </c>
      <c r="D8" s="38">
        <f t="shared" si="0"/>
        <v>5.0106352940962555</v>
      </c>
      <c r="E8" s="25">
        <f t="shared" si="1"/>
        <v>-8.5</v>
      </c>
      <c r="F8" s="26">
        <f t="shared" si="2"/>
        <v>-1.5493680621495374</v>
      </c>
      <c r="G8" s="26">
        <f t="shared" si="3"/>
        <v>72.25</v>
      </c>
      <c r="H8" s="25">
        <f t="shared" si="4"/>
        <v>2.4005413920090128</v>
      </c>
      <c r="I8" s="27">
        <f t="shared" si="5"/>
        <v>13.169628528271067</v>
      </c>
    </row>
    <row r="9" spans="1:12" x14ac:dyDescent="0.25">
      <c r="A9" s="2">
        <v>5</v>
      </c>
      <c r="B9" s="2">
        <v>5</v>
      </c>
      <c r="C9" s="2">
        <v>210</v>
      </c>
      <c r="D9" s="38">
        <f t="shared" si="0"/>
        <v>5.3471075307174685</v>
      </c>
      <c r="E9" s="25">
        <f t="shared" si="1"/>
        <v>-7.5</v>
      </c>
      <c r="F9" s="26">
        <f t="shared" si="2"/>
        <v>-1.2128958255283244</v>
      </c>
      <c r="G9" s="26">
        <f t="shared" si="3"/>
        <v>56.25</v>
      </c>
      <c r="H9" s="25">
        <f t="shared" si="4"/>
        <v>1.4711162835840357</v>
      </c>
      <c r="I9" s="27">
        <f t="shared" si="5"/>
        <v>9.0967186914624332</v>
      </c>
    </row>
    <row r="10" spans="1:12" x14ac:dyDescent="0.25">
      <c r="A10" s="2">
        <v>6</v>
      </c>
      <c r="B10" s="2">
        <v>6</v>
      </c>
      <c r="C10" s="2">
        <v>290</v>
      </c>
      <c r="D10" s="38">
        <f t="shared" si="0"/>
        <v>5.6698809229805196</v>
      </c>
      <c r="E10" s="25">
        <f t="shared" ref="E10:E28" si="6">B10-$B$32</f>
        <v>-6.5</v>
      </c>
      <c r="F10" s="26">
        <f t="shared" ref="F10:F29" si="7">D10-$B$33</f>
        <v>-0.89012243326527329</v>
      </c>
      <c r="G10" s="26">
        <f t="shared" si="3"/>
        <v>42.25</v>
      </c>
      <c r="H10" s="25">
        <f t="shared" si="4"/>
        <v>0.79231794620209095</v>
      </c>
      <c r="I10" s="27">
        <f t="shared" si="5"/>
        <v>5.785795816224276</v>
      </c>
    </row>
    <row r="11" spans="1:12" x14ac:dyDescent="0.25">
      <c r="A11" s="2">
        <v>7</v>
      </c>
      <c r="B11" s="2">
        <v>7</v>
      </c>
      <c r="C11" s="2">
        <v>390</v>
      </c>
      <c r="D11" s="38">
        <f t="shared" si="0"/>
        <v>5.9661467391236922</v>
      </c>
      <c r="E11" s="25">
        <f t="shared" si="6"/>
        <v>-5.5</v>
      </c>
      <c r="F11" s="26">
        <f t="shared" si="7"/>
        <v>-0.59385661712210069</v>
      </c>
      <c r="G11" s="26">
        <f t="shared" si="3"/>
        <v>30.25</v>
      </c>
      <c r="H11" s="25">
        <f t="shared" si="4"/>
        <v>0.3526656816997053</v>
      </c>
      <c r="I11" s="27">
        <f t="shared" si="5"/>
        <v>3.2662113941715538</v>
      </c>
    </row>
    <row r="12" spans="1:12" x14ac:dyDescent="0.25">
      <c r="A12" s="2">
        <v>8</v>
      </c>
      <c r="B12" s="2">
        <v>8</v>
      </c>
      <c r="C12" s="2">
        <v>450</v>
      </c>
      <c r="D12" s="38">
        <f t="shared" si="0"/>
        <v>6.1092475827643655</v>
      </c>
      <c r="E12" s="25">
        <f t="shared" si="6"/>
        <v>-4.5</v>
      </c>
      <c r="F12" s="26">
        <f t="shared" si="7"/>
        <v>-0.45075577348142737</v>
      </c>
      <c r="G12" s="26">
        <f t="shared" si="3"/>
        <v>20.25</v>
      </c>
      <c r="H12" s="25">
        <f t="shared" si="4"/>
        <v>0.20318076732683987</v>
      </c>
      <c r="I12" s="27">
        <f t="shared" si="5"/>
        <v>2.0284009806664232</v>
      </c>
    </row>
    <row r="13" spans="1:12" x14ac:dyDescent="0.25">
      <c r="A13" s="2">
        <v>9</v>
      </c>
      <c r="B13" s="2">
        <v>9</v>
      </c>
      <c r="C13" s="2">
        <v>560</v>
      </c>
      <c r="D13" s="38">
        <f t="shared" si="0"/>
        <v>6.3279367837291947</v>
      </c>
      <c r="E13" s="25">
        <f t="shared" si="6"/>
        <v>-3.5</v>
      </c>
      <c r="F13" s="26">
        <f t="shared" si="7"/>
        <v>-0.23206657251659824</v>
      </c>
      <c r="G13" s="26">
        <f t="shared" si="3"/>
        <v>12.25</v>
      </c>
      <c r="H13" s="25">
        <f t="shared" si="4"/>
        <v>5.3854894079601548E-2</v>
      </c>
      <c r="I13" s="27">
        <f t="shared" si="5"/>
        <v>0.81223300380809382</v>
      </c>
    </row>
    <row r="14" spans="1:12" x14ac:dyDescent="0.25">
      <c r="A14" s="2">
        <v>10</v>
      </c>
      <c r="B14" s="2">
        <v>10</v>
      </c>
      <c r="C14" s="2">
        <v>580</v>
      </c>
      <c r="D14" s="38">
        <f t="shared" si="0"/>
        <v>6.363028103540465</v>
      </c>
      <c r="E14" s="25">
        <f t="shared" si="6"/>
        <v>-2.5</v>
      </c>
      <c r="F14" s="26">
        <f t="shared" si="7"/>
        <v>-0.1969752527053279</v>
      </c>
      <c r="G14" s="26">
        <f t="shared" si="3"/>
        <v>6.25</v>
      </c>
      <c r="H14" s="25">
        <f t="shared" si="4"/>
        <v>3.8799250178327784E-2</v>
      </c>
      <c r="I14" s="27">
        <f t="shared" si="5"/>
        <v>0.49243813176331974</v>
      </c>
    </row>
    <row r="15" spans="1:12" x14ac:dyDescent="0.25">
      <c r="A15" s="2">
        <v>11</v>
      </c>
      <c r="B15" s="2">
        <v>11</v>
      </c>
      <c r="C15" s="2">
        <v>690</v>
      </c>
      <c r="D15" s="38">
        <f t="shared" si="0"/>
        <v>6.5366915975913047</v>
      </c>
      <c r="E15" s="25">
        <f t="shared" si="6"/>
        <v>-1.5</v>
      </c>
      <c r="F15" s="26">
        <f t="shared" si="7"/>
        <v>-2.3311758654488202E-2</v>
      </c>
      <c r="G15" s="26">
        <f t="shared" si="3"/>
        <v>2.25</v>
      </c>
      <c r="H15" s="25">
        <f t="shared" si="4"/>
        <v>5.4343809156510558E-4</v>
      </c>
      <c r="I15" s="27">
        <f t="shared" si="5"/>
        <v>3.4967637981732302E-2</v>
      </c>
    </row>
    <row r="16" spans="1:12" x14ac:dyDescent="0.25">
      <c r="A16" s="2">
        <v>12</v>
      </c>
      <c r="B16" s="2">
        <v>12</v>
      </c>
      <c r="C16" s="2">
        <v>750</v>
      </c>
      <c r="D16" s="38">
        <f t="shared" si="0"/>
        <v>6.620073206530356</v>
      </c>
      <c r="E16" s="25">
        <f t="shared" si="6"/>
        <v>-0.5</v>
      </c>
      <c r="F16" s="26">
        <f t="shared" si="7"/>
        <v>6.0069850284563131E-2</v>
      </c>
      <c r="G16" s="26">
        <f t="shared" si="3"/>
        <v>0.25</v>
      </c>
      <c r="H16" s="25">
        <f t="shared" si="4"/>
        <v>3.6083869132098293E-3</v>
      </c>
      <c r="I16" s="27">
        <f t="shared" si="5"/>
        <v>-3.0034925142281566E-2</v>
      </c>
    </row>
    <row r="17" spans="1:9" x14ac:dyDescent="0.25">
      <c r="A17" s="2">
        <v>13</v>
      </c>
      <c r="B17" s="2">
        <v>13</v>
      </c>
      <c r="C17" s="2">
        <v>820</v>
      </c>
      <c r="D17" s="38">
        <f t="shared" si="0"/>
        <v>6.7093043402582984</v>
      </c>
      <c r="E17" s="25">
        <f t="shared" si="6"/>
        <v>0.5</v>
      </c>
      <c r="F17" s="26">
        <f t="shared" si="7"/>
        <v>0.14930098401250547</v>
      </c>
      <c r="G17" s="26">
        <f t="shared" si="3"/>
        <v>0.25</v>
      </c>
      <c r="H17" s="25">
        <f t="shared" si="4"/>
        <v>2.2290783827102412E-2</v>
      </c>
      <c r="I17" s="27">
        <f t="shared" si="5"/>
        <v>7.4650492006252733E-2</v>
      </c>
    </row>
    <row r="18" spans="1:9" x14ac:dyDescent="0.25">
      <c r="A18" s="2">
        <v>14</v>
      </c>
      <c r="B18" s="2">
        <v>14</v>
      </c>
      <c r="C18" s="2">
        <v>990</v>
      </c>
      <c r="D18" s="38">
        <f t="shared" si="0"/>
        <v>6.8977049431286357</v>
      </c>
      <c r="E18" s="25">
        <f t="shared" si="6"/>
        <v>1.5</v>
      </c>
      <c r="F18" s="26">
        <f t="shared" si="7"/>
        <v>0.3377015868828428</v>
      </c>
      <c r="G18" s="26">
        <f t="shared" si="3"/>
        <v>2.25</v>
      </c>
      <c r="H18" s="25">
        <f t="shared" si="4"/>
        <v>0.11404236178319022</v>
      </c>
      <c r="I18" s="27">
        <f t="shared" si="5"/>
        <v>0.5065523803242642</v>
      </c>
    </row>
    <row r="19" spans="1:9" x14ac:dyDescent="0.25">
      <c r="A19" s="2">
        <v>15</v>
      </c>
      <c r="B19" s="2">
        <v>15</v>
      </c>
      <c r="C19" s="2">
        <v>1120</v>
      </c>
      <c r="D19" s="38">
        <f t="shared" si="0"/>
        <v>7.0210839642891401</v>
      </c>
      <c r="E19" s="25">
        <f t="shared" si="6"/>
        <v>2.5</v>
      </c>
      <c r="F19" s="26">
        <f t="shared" si="7"/>
        <v>0.46108060804334716</v>
      </c>
      <c r="G19" s="26">
        <f t="shared" si="3"/>
        <v>6.25</v>
      </c>
      <c r="H19" s="25">
        <f t="shared" si="4"/>
        <v>0.21259532711362272</v>
      </c>
      <c r="I19" s="27">
        <f t="shared" si="5"/>
        <v>1.1527015201083679</v>
      </c>
    </row>
    <row r="20" spans="1:9" x14ac:dyDescent="0.25">
      <c r="A20" s="2">
        <v>16</v>
      </c>
      <c r="B20" s="2">
        <v>16</v>
      </c>
      <c r="C20" s="2">
        <v>1240</v>
      </c>
      <c r="D20" s="38">
        <f t="shared" si="0"/>
        <v>7.122866658599083</v>
      </c>
      <c r="E20" s="25">
        <f t="shared" si="6"/>
        <v>3.5</v>
      </c>
      <c r="F20" s="26">
        <f t="shared" si="7"/>
        <v>0.56286330235329007</v>
      </c>
      <c r="G20" s="26">
        <f t="shared" si="3"/>
        <v>12.25</v>
      </c>
      <c r="H20" s="25">
        <f t="shared" si="4"/>
        <v>0.31681509713605122</v>
      </c>
      <c r="I20" s="27">
        <f t="shared" si="5"/>
        <v>1.9700215582365153</v>
      </c>
    </row>
    <row r="21" spans="1:9" x14ac:dyDescent="0.25">
      <c r="A21" s="2">
        <v>17</v>
      </c>
      <c r="B21" s="2">
        <v>17</v>
      </c>
      <c r="C21" s="2">
        <v>1430</v>
      </c>
      <c r="D21" s="38">
        <f t="shared" si="0"/>
        <v>7.2654297232539529</v>
      </c>
      <c r="E21" s="25">
        <f t="shared" si="6"/>
        <v>4.5</v>
      </c>
      <c r="F21" s="26">
        <f t="shared" si="7"/>
        <v>0.70542636700815997</v>
      </c>
      <c r="G21" s="26">
        <f t="shared" si="3"/>
        <v>20.25</v>
      </c>
      <c r="H21" s="25">
        <f t="shared" si="4"/>
        <v>0.49762635927033122</v>
      </c>
      <c r="I21" s="27">
        <f t="shared" si="5"/>
        <v>3.1744186515367199</v>
      </c>
    </row>
    <row r="22" spans="1:9" x14ac:dyDescent="0.25">
      <c r="A22" s="2">
        <v>18</v>
      </c>
      <c r="B22" s="2">
        <v>18</v>
      </c>
      <c r="C22" s="2">
        <v>1600</v>
      </c>
      <c r="D22" s="38">
        <f t="shared" si="0"/>
        <v>7.3777589082278725</v>
      </c>
      <c r="E22" s="25">
        <f t="shared" si="6"/>
        <v>5.5</v>
      </c>
      <c r="F22" s="26">
        <f t="shared" si="7"/>
        <v>0.81775555198207961</v>
      </c>
      <c r="G22" s="26">
        <f t="shared" si="3"/>
        <v>30.25</v>
      </c>
      <c r="H22" s="25">
        <f t="shared" si="4"/>
        <v>0.66872414279751569</v>
      </c>
      <c r="I22" s="27">
        <f t="shared" si="5"/>
        <v>4.4976555359014379</v>
      </c>
    </row>
    <row r="23" spans="1:9" x14ac:dyDescent="0.25">
      <c r="A23" s="2">
        <v>19</v>
      </c>
      <c r="B23" s="2">
        <v>19</v>
      </c>
      <c r="C23" s="2">
        <v>1780</v>
      </c>
      <c r="D23" s="38">
        <f t="shared" si="0"/>
        <v>7.4843686432861309</v>
      </c>
      <c r="E23" s="25">
        <f t="shared" si="6"/>
        <v>6.5</v>
      </c>
      <c r="F23" s="26">
        <f t="shared" si="7"/>
        <v>0.92436528704033805</v>
      </c>
      <c r="G23" s="26">
        <f t="shared" si="3"/>
        <v>42.25</v>
      </c>
      <c r="H23" s="25">
        <f t="shared" si="4"/>
        <v>0.8544511838851665</v>
      </c>
      <c r="I23" s="27">
        <f t="shared" si="5"/>
        <v>6.0083743657621973</v>
      </c>
    </row>
    <row r="24" spans="1:9" x14ac:dyDescent="0.25">
      <c r="A24" s="2">
        <v>20</v>
      </c>
      <c r="B24" s="2">
        <v>20</v>
      </c>
      <c r="C24" s="2">
        <v>2080</v>
      </c>
      <c r="D24" s="38">
        <f t="shared" si="0"/>
        <v>7.6401231726953638</v>
      </c>
      <c r="E24" s="25">
        <f t="shared" si="6"/>
        <v>7.5</v>
      </c>
      <c r="F24" s="26">
        <f t="shared" si="7"/>
        <v>1.0801198164495709</v>
      </c>
      <c r="G24" s="26">
        <f t="shared" si="3"/>
        <v>56.25</v>
      </c>
      <c r="H24" s="25">
        <f t="shared" si="4"/>
        <v>1.1666588178870547</v>
      </c>
      <c r="I24" s="27">
        <f t="shared" si="5"/>
        <v>8.1008986233717817</v>
      </c>
    </row>
    <row r="25" spans="1:9" x14ac:dyDescent="0.25">
      <c r="A25" s="2">
        <v>21</v>
      </c>
      <c r="B25" s="2">
        <v>21</v>
      </c>
      <c r="C25" s="2">
        <v>2300</v>
      </c>
      <c r="D25" s="38">
        <f t="shared" si="0"/>
        <v>7.7406644019172415</v>
      </c>
      <c r="E25" s="25">
        <f t="shared" si="6"/>
        <v>8.5</v>
      </c>
      <c r="F25" s="26">
        <f t="shared" si="7"/>
        <v>1.1806610456714486</v>
      </c>
      <c r="G25" s="26">
        <f t="shared" si="3"/>
        <v>72.25</v>
      </c>
      <c r="H25" s="25">
        <f t="shared" si="4"/>
        <v>1.3939605047659984</v>
      </c>
      <c r="I25" s="27">
        <f t="shared" si="5"/>
        <v>10.035618888207313</v>
      </c>
    </row>
    <row r="26" spans="1:9" x14ac:dyDescent="0.25">
      <c r="A26" s="2">
        <v>22</v>
      </c>
      <c r="B26" s="2">
        <v>22</v>
      </c>
      <c r="C26" s="2">
        <v>2700</v>
      </c>
      <c r="D26" s="38">
        <f t="shared" si="0"/>
        <v>7.90100705199242</v>
      </c>
      <c r="E26" s="25">
        <f t="shared" si="6"/>
        <v>9.5</v>
      </c>
      <c r="F26" s="26">
        <f t="shared" si="7"/>
        <v>1.3410036957466271</v>
      </c>
      <c r="G26" s="26">
        <f t="shared" si="3"/>
        <v>90.25</v>
      </c>
      <c r="H26" s="25">
        <f t="shared" si="4"/>
        <v>1.7982909120061126</v>
      </c>
      <c r="I26" s="27">
        <f t="shared" si="5"/>
        <v>12.739535109592957</v>
      </c>
    </row>
    <row r="27" spans="1:9" x14ac:dyDescent="0.25">
      <c r="A27" s="2">
        <v>23</v>
      </c>
      <c r="B27" s="2">
        <v>23</v>
      </c>
      <c r="C27" s="2">
        <v>3200</v>
      </c>
      <c r="D27" s="38">
        <f t="shared" si="0"/>
        <v>8.0709060887878188</v>
      </c>
      <c r="E27" s="25">
        <f t="shared" si="6"/>
        <v>10.5</v>
      </c>
      <c r="F27" s="26">
        <f t="shared" si="7"/>
        <v>1.5109027325420259</v>
      </c>
      <c r="G27" s="26">
        <f t="shared" si="3"/>
        <v>110.25</v>
      </c>
      <c r="H27" s="25">
        <f t="shared" si="4"/>
        <v>2.2828270672029607</v>
      </c>
      <c r="I27" s="27">
        <f t="shared" si="5"/>
        <v>15.864478691691271</v>
      </c>
    </row>
    <row r="28" spans="1:9" x14ac:dyDescent="0.25">
      <c r="A28" s="2">
        <v>24</v>
      </c>
      <c r="B28" s="2">
        <v>24</v>
      </c>
      <c r="C28" s="2">
        <v>3750</v>
      </c>
      <c r="D28" s="38">
        <f t="shared" si="0"/>
        <v>8.2295111189644565</v>
      </c>
      <c r="E28" s="25">
        <f t="shared" si="6"/>
        <v>11.5</v>
      </c>
      <c r="F28" s="26">
        <f t="shared" si="7"/>
        <v>1.6695077627186636</v>
      </c>
      <c r="G28" s="26">
        <f t="shared" si="3"/>
        <v>132.25</v>
      </c>
      <c r="H28" s="25">
        <f t="shared" si="4"/>
        <v>2.7872561697778777</v>
      </c>
      <c r="I28" s="27">
        <f t="shared" si="5"/>
        <v>19.19933927126463</v>
      </c>
    </row>
    <row r="29" spans="1:9" x14ac:dyDescent="0.25">
      <c r="A29" s="4" t="s">
        <v>3</v>
      </c>
      <c r="B29" s="4">
        <f>SUM(B5:B28)</f>
        <v>300</v>
      </c>
      <c r="C29" s="4"/>
      <c r="D29" s="39">
        <f>SUM(D5:D28)</f>
        <v>157.44008054989902</v>
      </c>
      <c r="E29" s="23"/>
      <c r="F29" s="23">
        <f t="shared" si="7"/>
        <v>150.88007719365322</v>
      </c>
      <c r="G29" s="26">
        <f>SUM(G5:G28)</f>
        <v>1150</v>
      </c>
      <c r="H29" s="25">
        <f>SUM(H5:H28)</f>
        <v>28.133139479404903</v>
      </c>
      <c r="I29" s="27">
        <f>SUM(I5:I28)</f>
        <v>177.6488745149625</v>
      </c>
    </row>
    <row r="31" spans="1:9" x14ac:dyDescent="0.25">
      <c r="A31" s="7" t="s">
        <v>12</v>
      </c>
      <c r="B31" s="8">
        <f>COUNT(A5:A28)</f>
        <v>24</v>
      </c>
      <c r="G31" s="16"/>
    </row>
    <row r="32" spans="1:9" x14ac:dyDescent="0.25">
      <c r="A32" s="7" t="s">
        <v>8</v>
      </c>
      <c r="B32" s="12">
        <f>AVERAGE(B5:B28)</f>
        <v>12.5</v>
      </c>
      <c r="G32" s="16"/>
    </row>
    <row r="33" spans="1:8" x14ac:dyDescent="0.25">
      <c r="A33" s="7" t="s">
        <v>45</v>
      </c>
      <c r="B33" s="12">
        <f>AVERAGE(D5:D28)</f>
        <v>6.5600033562457929</v>
      </c>
      <c r="G33" s="16"/>
    </row>
    <row r="34" spans="1:8" x14ac:dyDescent="0.25">
      <c r="A34" s="6"/>
      <c r="G34" s="17"/>
    </row>
    <row r="35" spans="1:8" x14ac:dyDescent="0.25">
      <c r="A35" s="7" t="s">
        <v>11</v>
      </c>
      <c r="B35" s="12">
        <f>SQRT(G29/B31)</f>
        <v>6.9221865524317288</v>
      </c>
    </row>
    <row r="36" spans="1:8" x14ac:dyDescent="0.25">
      <c r="A36" s="7" t="s">
        <v>50</v>
      </c>
      <c r="B36" s="12">
        <f>SQRT(H29/B31)</f>
        <v>1.0826883877530065</v>
      </c>
    </row>
    <row r="37" spans="1:8" x14ac:dyDescent="0.25">
      <c r="A37" s="7" t="s">
        <v>51</v>
      </c>
      <c r="B37" s="28">
        <f>I29/B31</f>
        <v>7.4020364381234378</v>
      </c>
      <c r="C37" s="5" t="s">
        <v>18</v>
      </c>
    </row>
    <row r="38" spans="1:8" x14ac:dyDescent="0.25">
      <c r="A38" s="9"/>
      <c r="B38" s="10"/>
      <c r="C38" s="5"/>
    </row>
    <row r="39" spans="1:8" x14ac:dyDescent="0.25">
      <c r="A39" s="9"/>
      <c r="B39" s="10"/>
      <c r="C39" s="5"/>
    </row>
    <row r="40" spans="1:8" x14ac:dyDescent="0.25">
      <c r="A40" s="11" t="s">
        <v>19</v>
      </c>
      <c r="B40" s="10"/>
      <c r="C40" s="5"/>
    </row>
    <row r="41" spans="1:8" x14ac:dyDescent="0.25">
      <c r="A41" s="6"/>
    </row>
    <row r="42" spans="1:8" x14ac:dyDescent="0.25">
      <c r="A42" s="7" t="s">
        <v>14</v>
      </c>
      <c r="B42" s="31">
        <f>B37/(B35*B36)</f>
        <v>0.98765312116238391</v>
      </c>
      <c r="C42" s="5" t="s">
        <v>17</v>
      </c>
    </row>
    <row r="43" spans="1:8" x14ac:dyDescent="0.25">
      <c r="A43" s="6"/>
    </row>
    <row r="44" spans="1:8" x14ac:dyDescent="0.25">
      <c r="A44" s="6"/>
    </row>
    <row r="45" spans="1:8" x14ac:dyDescent="0.25">
      <c r="A45" s="40" t="s">
        <v>37</v>
      </c>
      <c r="B45" s="40"/>
      <c r="D45" s="40" t="s">
        <v>40</v>
      </c>
      <c r="E45" s="40"/>
      <c r="F45" s="40"/>
      <c r="G45" s="40"/>
      <c r="H45" s="40"/>
    </row>
    <row r="46" spans="1:8" x14ac:dyDescent="0.25">
      <c r="A46" s="21" t="s">
        <v>30</v>
      </c>
      <c r="B46" s="29" t="s">
        <v>32</v>
      </c>
      <c r="D46" s="21" t="s">
        <v>35</v>
      </c>
      <c r="E46" s="41" t="s">
        <v>38</v>
      </c>
      <c r="F46" s="41"/>
      <c r="G46" s="41"/>
      <c r="H46" s="41"/>
    </row>
    <row r="47" spans="1:8" x14ac:dyDescent="0.25">
      <c r="A47" s="21" t="s">
        <v>29</v>
      </c>
      <c r="B47" s="29" t="s">
        <v>33</v>
      </c>
      <c r="D47" s="21" t="s">
        <v>36</v>
      </c>
      <c r="E47" s="41" t="s">
        <v>39</v>
      </c>
      <c r="F47" s="41"/>
      <c r="G47" s="41"/>
      <c r="H47" s="41"/>
    </row>
    <row r="48" spans="1:8" x14ac:dyDescent="0.25">
      <c r="A48" s="21" t="s">
        <v>31</v>
      </c>
      <c r="B48" s="29" t="s">
        <v>34</v>
      </c>
    </row>
    <row r="51" spans="1:7" x14ac:dyDescent="0.25">
      <c r="A51" s="14" t="s">
        <v>20</v>
      </c>
      <c r="B51" s="33">
        <f>B37/(B35^2)</f>
        <v>0.15447728218692391</v>
      </c>
      <c r="C51" s="5" t="s">
        <v>22</v>
      </c>
    </row>
    <row r="54" spans="1:7" x14ac:dyDescent="0.25">
      <c r="A54" s="14" t="s">
        <v>21</v>
      </c>
      <c r="B54" s="13">
        <f>B33-(B51*B32)</f>
        <v>4.6290373289092441</v>
      </c>
      <c r="C54" s="5" t="s">
        <v>23</v>
      </c>
    </row>
    <row r="55" spans="1:7" x14ac:dyDescent="0.25">
      <c r="A55" s="6" t="s">
        <v>52</v>
      </c>
      <c r="B55">
        <f>ROUND(EXP(B54),2)</f>
        <v>102.42</v>
      </c>
    </row>
    <row r="58" spans="1:7" x14ac:dyDescent="0.25">
      <c r="A58" s="14" t="s">
        <v>24</v>
      </c>
      <c r="B58" s="44" t="str">
        <f>B55&amp;" e^("&amp;ROUND(B51,4)&amp;"x)"</f>
        <v>102.42 e^(0.1545x)</v>
      </c>
      <c r="C58" s="45"/>
      <c r="D58" s="5" t="s">
        <v>53</v>
      </c>
      <c r="G58" t="s">
        <v>65</v>
      </c>
    </row>
    <row r="61" spans="1:7" x14ac:dyDescent="0.25">
      <c r="A61" s="15" t="s">
        <v>26</v>
      </c>
      <c r="B61" s="34">
        <v>25</v>
      </c>
      <c r="C61" s="5" t="str">
        <f>B4 &amp; " (pruebe cambiar éste valor por otros) (variable independiente)."</f>
        <v>Mes (pruebe cambiar éste valor por otros) (variable independiente).</v>
      </c>
    </row>
    <row r="62" spans="1:7" x14ac:dyDescent="0.25">
      <c r="A62" s="15" t="s">
        <v>27</v>
      </c>
      <c r="B62" s="35">
        <f>ROUND(EXP(B54)*EXP(B51*B61),0)</f>
        <v>4871</v>
      </c>
      <c r="C62" s="5" t="str">
        <f>C4 &amp; " (pronósticamos éste valor) (variable dependiente)."</f>
        <v>Unidades vendidas (pronósticamos éste valor) (variable dependiente).</v>
      </c>
    </row>
    <row r="66" spans="3:3" x14ac:dyDescent="0.25">
      <c r="C66" s="16"/>
    </row>
  </sheetData>
  <mergeCells count="5">
    <mergeCell ref="A45:B45"/>
    <mergeCell ref="D45:H45"/>
    <mergeCell ref="E46:H46"/>
    <mergeCell ref="E47:H47"/>
    <mergeCell ref="B58:C58"/>
  </mergeCells>
  <printOptions horizontalCentered="1"/>
  <pageMargins left="0.39370078740157483" right="0.39370078740157483" top="0.39370078740157483" bottom="0.39370078740157483" header="0" footer="0"/>
  <pageSetup scale="87" orientation="portrait" horizontalDpi="4294967293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8A6EB-0470-4809-8A18-874A48AAD421}">
  <sheetPr>
    <pageSetUpPr fitToPage="1"/>
  </sheetPr>
  <dimension ref="A1:L65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baseColWidth="10" defaultRowHeight="15" x14ac:dyDescent="0.25"/>
  <cols>
    <col min="1" max="1" width="10.5703125" customWidth="1"/>
    <col min="2" max="8" width="14.7109375" customWidth="1"/>
  </cols>
  <sheetData>
    <row r="1" spans="1:12" x14ac:dyDescent="0.25">
      <c r="A1" s="30" t="s">
        <v>63</v>
      </c>
    </row>
    <row r="3" spans="1:12" x14ac:dyDescent="0.25">
      <c r="B3" s="1" t="s">
        <v>1</v>
      </c>
      <c r="C3" s="1" t="s">
        <v>2</v>
      </c>
      <c r="D3" s="1" t="s">
        <v>54</v>
      </c>
      <c r="E3" s="18" t="s">
        <v>55</v>
      </c>
      <c r="F3" s="18" t="s">
        <v>5</v>
      </c>
      <c r="H3" s="18"/>
      <c r="I3" s="18"/>
      <c r="J3" s="19"/>
      <c r="K3" s="19"/>
      <c r="L3" s="19"/>
    </row>
    <row r="4" spans="1:12" ht="30" x14ac:dyDescent="0.25">
      <c r="A4" s="2" t="s">
        <v>0</v>
      </c>
      <c r="B4" s="3" t="s">
        <v>43</v>
      </c>
      <c r="C4" s="3" t="s">
        <v>44</v>
      </c>
      <c r="D4" s="37" t="s">
        <v>43</v>
      </c>
      <c r="E4" s="20" t="s">
        <v>56</v>
      </c>
      <c r="F4" s="20" t="s">
        <v>16</v>
      </c>
      <c r="G4" s="20" t="s">
        <v>57</v>
      </c>
      <c r="H4" s="20" t="s">
        <v>7</v>
      </c>
      <c r="I4" s="20" t="s">
        <v>58</v>
      </c>
    </row>
    <row r="5" spans="1:12" x14ac:dyDescent="0.25">
      <c r="A5" s="2">
        <v>1</v>
      </c>
      <c r="B5" s="2">
        <v>1</v>
      </c>
      <c r="C5" s="2">
        <v>90</v>
      </c>
      <c r="D5" s="38">
        <f>LN(B5)</f>
        <v>0</v>
      </c>
      <c r="E5" s="26">
        <f>D5-$B$32</f>
        <v>-2.2826970582546804</v>
      </c>
      <c r="F5" s="25">
        <f>C5-$B$33</f>
        <v>-2132.0833333333335</v>
      </c>
      <c r="G5" s="26">
        <f>E5^2</f>
        <v>5.2107058597645715</v>
      </c>
      <c r="H5" s="25">
        <f>F5^2</f>
        <v>4545779.340277778</v>
      </c>
      <c r="I5" s="25">
        <f>E5*F5</f>
        <v>4866.9003529538331</v>
      </c>
    </row>
    <row r="6" spans="1:12" x14ac:dyDescent="0.25">
      <c r="A6" s="2">
        <v>2</v>
      </c>
      <c r="B6" s="2">
        <v>2</v>
      </c>
      <c r="C6" s="2">
        <v>380</v>
      </c>
      <c r="D6" s="38">
        <f t="shared" ref="D6:D28" si="0">LN(B6)</f>
        <v>0.69314718055994529</v>
      </c>
      <c r="E6" s="26">
        <f t="shared" ref="E6:E28" si="1">D6-$B$32</f>
        <v>-1.589549877694735</v>
      </c>
      <c r="F6" s="25">
        <f t="shared" ref="F6:F28" si="2">C6-$B$33</f>
        <v>-1842.0833333333335</v>
      </c>
      <c r="G6" s="26">
        <f t="shared" ref="G6:H28" si="3">E6^2</f>
        <v>2.5266688136793469</v>
      </c>
      <c r="H6" s="25">
        <f t="shared" si="3"/>
        <v>3393271.006944445</v>
      </c>
      <c r="I6" s="25">
        <f t="shared" ref="I6:I28" si="4">E6*F6</f>
        <v>2928.0833372035099</v>
      </c>
    </row>
    <row r="7" spans="1:12" x14ac:dyDescent="0.25">
      <c r="A7" s="2">
        <v>3</v>
      </c>
      <c r="B7" s="2">
        <v>3</v>
      </c>
      <c r="C7" s="2">
        <v>690</v>
      </c>
      <c r="D7" s="38">
        <f t="shared" si="0"/>
        <v>1.0986122886681098</v>
      </c>
      <c r="E7" s="26">
        <f t="shared" si="1"/>
        <v>-1.1840847695865706</v>
      </c>
      <c r="F7" s="25">
        <f t="shared" si="2"/>
        <v>-1532.0833333333335</v>
      </c>
      <c r="G7" s="26">
        <f t="shared" si="3"/>
        <v>1.4020567415668821</v>
      </c>
      <c r="H7" s="25">
        <f t="shared" si="3"/>
        <v>2347279.3402777785</v>
      </c>
      <c r="I7" s="25">
        <f t="shared" si="4"/>
        <v>1814.1165407374253</v>
      </c>
    </row>
    <row r="8" spans="1:12" x14ac:dyDescent="0.25">
      <c r="A8" s="2">
        <v>4</v>
      </c>
      <c r="B8" s="2">
        <v>4</v>
      </c>
      <c r="C8" s="2">
        <v>1020</v>
      </c>
      <c r="D8" s="38">
        <f t="shared" si="0"/>
        <v>1.3862943611198906</v>
      </c>
      <c r="E8" s="26">
        <f t="shared" si="1"/>
        <v>-0.89640269713478982</v>
      </c>
      <c r="F8" s="25">
        <f t="shared" si="2"/>
        <v>-1202.0833333333335</v>
      </c>
      <c r="G8" s="26">
        <f t="shared" si="3"/>
        <v>0.80353779543052573</v>
      </c>
      <c r="H8" s="25">
        <f t="shared" si="3"/>
        <v>1445004.3402777782</v>
      </c>
      <c r="I8" s="25">
        <f t="shared" si="4"/>
        <v>1077.5507421807788</v>
      </c>
    </row>
    <row r="9" spans="1:12" x14ac:dyDescent="0.25">
      <c r="A9" s="2">
        <v>5</v>
      </c>
      <c r="B9" s="2">
        <v>5</v>
      </c>
      <c r="C9" s="2">
        <v>1180</v>
      </c>
      <c r="D9" s="38">
        <f t="shared" si="0"/>
        <v>1.6094379124341003</v>
      </c>
      <c r="E9" s="26">
        <f t="shared" si="1"/>
        <v>-0.67325914582058011</v>
      </c>
      <c r="F9" s="25">
        <f t="shared" si="2"/>
        <v>-1042.0833333333335</v>
      </c>
      <c r="G9" s="26">
        <f t="shared" si="3"/>
        <v>0.45327787743105713</v>
      </c>
      <c r="H9" s="25">
        <f t="shared" si="3"/>
        <v>1085937.6736111115</v>
      </c>
      <c r="I9" s="25">
        <f t="shared" si="4"/>
        <v>701.59213487386296</v>
      </c>
    </row>
    <row r="10" spans="1:12" x14ac:dyDescent="0.25">
      <c r="A10" s="2">
        <v>6</v>
      </c>
      <c r="B10" s="2">
        <v>6</v>
      </c>
      <c r="C10" s="2">
        <v>1470</v>
      </c>
      <c r="D10" s="38">
        <f t="shared" si="0"/>
        <v>1.791759469228055</v>
      </c>
      <c r="E10" s="26">
        <f t="shared" si="1"/>
        <v>-0.49093758902662543</v>
      </c>
      <c r="F10" s="25">
        <f t="shared" si="2"/>
        <v>-752.08333333333348</v>
      </c>
      <c r="G10" s="26">
        <f t="shared" si="3"/>
        <v>0.24101971631927577</v>
      </c>
      <c r="H10" s="25">
        <f t="shared" si="3"/>
        <v>565629.34027777798</v>
      </c>
      <c r="I10" s="25">
        <f t="shared" si="4"/>
        <v>369.22597841377461</v>
      </c>
    </row>
    <row r="11" spans="1:12" x14ac:dyDescent="0.25">
      <c r="A11" s="2">
        <v>7</v>
      </c>
      <c r="B11" s="2">
        <v>7</v>
      </c>
      <c r="C11" s="2">
        <v>1680</v>
      </c>
      <c r="D11" s="38">
        <f t="shared" si="0"/>
        <v>1.9459101490553132</v>
      </c>
      <c r="E11" s="26">
        <f t="shared" si="1"/>
        <v>-0.33678690919936716</v>
      </c>
      <c r="F11" s="25">
        <f t="shared" si="2"/>
        <v>-542.08333333333348</v>
      </c>
      <c r="G11" s="26">
        <f t="shared" si="3"/>
        <v>0.11342542220806277</v>
      </c>
      <c r="H11" s="25">
        <f t="shared" si="3"/>
        <v>293854.34027777793</v>
      </c>
      <c r="I11" s="25">
        <f t="shared" si="4"/>
        <v>182.56657036182366</v>
      </c>
    </row>
    <row r="12" spans="1:12" x14ac:dyDescent="0.25">
      <c r="A12" s="2">
        <v>8</v>
      </c>
      <c r="B12" s="2">
        <v>8</v>
      </c>
      <c r="C12" s="2">
        <v>1760</v>
      </c>
      <c r="D12" s="38">
        <f t="shared" si="0"/>
        <v>2.0794415416798357</v>
      </c>
      <c r="E12" s="26">
        <f t="shared" si="1"/>
        <v>-0.20325551657484464</v>
      </c>
      <c r="F12" s="25">
        <f t="shared" si="2"/>
        <v>-462.08333333333348</v>
      </c>
      <c r="G12" s="26">
        <f t="shared" si="3"/>
        <v>4.1312805018106948E-2</v>
      </c>
      <c r="H12" s="25">
        <f t="shared" si="3"/>
        <v>213521.00694444458</v>
      </c>
      <c r="I12" s="25">
        <f t="shared" si="4"/>
        <v>93.920986617292826</v>
      </c>
    </row>
    <row r="13" spans="1:12" x14ac:dyDescent="0.25">
      <c r="A13" s="2">
        <v>9</v>
      </c>
      <c r="B13" s="2">
        <v>9</v>
      </c>
      <c r="C13" s="2">
        <v>1920</v>
      </c>
      <c r="D13" s="38">
        <f t="shared" si="0"/>
        <v>2.1972245773362196</v>
      </c>
      <c r="E13" s="26">
        <f t="shared" si="1"/>
        <v>-8.5472480918460825E-2</v>
      </c>
      <c r="F13" s="25">
        <f t="shared" si="2"/>
        <v>-302.08333333333348</v>
      </c>
      <c r="G13" s="26">
        <f t="shared" si="3"/>
        <v>7.3055449943566497E-3</v>
      </c>
      <c r="H13" s="25">
        <f t="shared" si="3"/>
        <v>91254.340277777868</v>
      </c>
      <c r="I13" s="25">
        <f t="shared" si="4"/>
        <v>25.819811944118388</v>
      </c>
    </row>
    <row r="14" spans="1:12" x14ac:dyDescent="0.25">
      <c r="A14" s="2">
        <v>10</v>
      </c>
      <c r="B14" s="2">
        <v>10</v>
      </c>
      <c r="C14" s="2">
        <v>2180</v>
      </c>
      <c r="D14" s="38">
        <f t="shared" si="0"/>
        <v>2.3025850929940459</v>
      </c>
      <c r="E14" s="26">
        <f t="shared" si="1"/>
        <v>1.9888034739365512E-2</v>
      </c>
      <c r="F14" s="25">
        <f t="shared" si="2"/>
        <v>-42.083333333333485</v>
      </c>
      <c r="G14" s="26">
        <f t="shared" si="3"/>
        <v>3.9553392579420941E-4</v>
      </c>
      <c r="H14" s="25">
        <f t="shared" si="3"/>
        <v>1771.0069444444573</v>
      </c>
      <c r="I14" s="25">
        <f t="shared" si="4"/>
        <v>-0.83695479528163497</v>
      </c>
    </row>
    <row r="15" spans="1:12" x14ac:dyDescent="0.25">
      <c r="A15" s="2">
        <v>11</v>
      </c>
      <c r="B15" s="2">
        <v>11</v>
      </c>
      <c r="C15" s="2">
        <v>2340</v>
      </c>
      <c r="D15" s="38">
        <f t="shared" si="0"/>
        <v>2.3978952727983707</v>
      </c>
      <c r="E15" s="26">
        <f t="shared" si="1"/>
        <v>0.11519821454369028</v>
      </c>
      <c r="F15" s="25">
        <f t="shared" si="2"/>
        <v>117.91666666666652</v>
      </c>
      <c r="G15" s="26">
        <f t="shared" si="3"/>
        <v>1.3270628634054095E-2</v>
      </c>
      <c r="H15" s="25">
        <f t="shared" si="3"/>
        <v>13904.340277777743</v>
      </c>
      <c r="I15" s="25">
        <f t="shared" si="4"/>
        <v>13.583789464943461</v>
      </c>
    </row>
    <row r="16" spans="1:12" x14ac:dyDescent="0.25">
      <c r="A16" s="2">
        <v>12</v>
      </c>
      <c r="B16" s="2">
        <v>12</v>
      </c>
      <c r="C16" s="2">
        <v>2450</v>
      </c>
      <c r="D16" s="38">
        <f t="shared" si="0"/>
        <v>2.4849066497880004</v>
      </c>
      <c r="E16" s="26">
        <f t="shared" si="1"/>
        <v>0.20220959153331997</v>
      </c>
      <c r="F16" s="25">
        <f t="shared" si="2"/>
        <v>227.91666666666652</v>
      </c>
      <c r="G16" s="26">
        <f t="shared" si="3"/>
        <v>4.0888718908072108E-2</v>
      </c>
      <c r="H16" s="25">
        <f t="shared" si="3"/>
        <v>51946.006944444372</v>
      </c>
      <c r="I16" s="25">
        <f t="shared" si="4"/>
        <v>46.086936070302478</v>
      </c>
    </row>
    <row r="17" spans="1:9" x14ac:dyDescent="0.25">
      <c r="A17" s="2">
        <v>13</v>
      </c>
      <c r="B17" s="2">
        <v>13</v>
      </c>
      <c r="C17" s="2">
        <v>2650</v>
      </c>
      <c r="D17" s="38">
        <f t="shared" si="0"/>
        <v>2.5649493574615367</v>
      </c>
      <c r="E17" s="26">
        <f t="shared" si="1"/>
        <v>0.28225229920685635</v>
      </c>
      <c r="F17" s="25">
        <f t="shared" si="2"/>
        <v>427.91666666666652</v>
      </c>
      <c r="G17" s="26">
        <f t="shared" si="3"/>
        <v>7.9666360407556758E-2</v>
      </c>
      <c r="H17" s="25">
        <f t="shared" si="3"/>
        <v>183112.67361111098</v>
      </c>
      <c r="I17" s="25">
        <f t="shared" si="4"/>
        <v>120.78046303560058</v>
      </c>
    </row>
    <row r="18" spans="1:9" x14ac:dyDescent="0.25">
      <c r="A18" s="2">
        <v>14</v>
      </c>
      <c r="B18" s="2">
        <v>14</v>
      </c>
      <c r="C18" s="2">
        <v>2770</v>
      </c>
      <c r="D18" s="38">
        <f t="shared" si="0"/>
        <v>2.6390573296152584</v>
      </c>
      <c r="E18" s="26">
        <f t="shared" si="1"/>
        <v>0.35636027136057802</v>
      </c>
      <c r="F18" s="25">
        <f t="shared" si="2"/>
        <v>547.91666666666652</v>
      </c>
      <c r="G18" s="26">
        <f t="shared" si="3"/>
        <v>0.12699264300418481</v>
      </c>
      <c r="H18" s="25">
        <f t="shared" si="3"/>
        <v>300212.67361111095</v>
      </c>
      <c r="I18" s="25">
        <f t="shared" si="4"/>
        <v>195.25573201631664</v>
      </c>
    </row>
    <row r="19" spans="1:9" x14ac:dyDescent="0.25">
      <c r="A19" s="2">
        <v>15</v>
      </c>
      <c r="B19" s="2">
        <v>15</v>
      </c>
      <c r="C19" s="2">
        <v>2850</v>
      </c>
      <c r="D19" s="38">
        <f t="shared" si="0"/>
        <v>2.7080502011022101</v>
      </c>
      <c r="E19" s="26">
        <f t="shared" si="1"/>
        <v>0.42535314284752967</v>
      </c>
      <c r="F19" s="25">
        <f t="shared" si="2"/>
        <v>627.91666666666652</v>
      </c>
      <c r="G19" s="26">
        <f t="shared" si="3"/>
        <v>0.18092529613027097</v>
      </c>
      <c r="H19" s="25">
        <f t="shared" si="3"/>
        <v>394279.34027777758</v>
      </c>
      <c r="I19" s="25">
        <f t="shared" si="4"/>
        <v>267.08632761301129</v>
      </c>
    </row>
    <row r="20" spans="1:9" x14ac:dyDescent="0.25">
      <c r="A20" s="2">
        <v>16</v>
      </c>
      <c r="B20" s="2">
        <v>16</v>
      </c>
      <c r="C20" s="2">
        <v>2910</v>
      </c>
      <c r="D20" s="38">
        <f t="shared" si="0"/>
        <v>2.7725887222397811</v>
      </c>
      <c r="E20" s="26">
        <f t="shared" si="1"/>
        <v>0.48989166398510076</v>
      </c>
      <c r="F20" s="25">
        <f t="shared" si="2"/>
        <v>687.91666666666652</v>
      </c>
      <c r="G20" s="26">
        <f t="shared" si="3"/>
        <v>0.23999384244209088</v>
      </c>
      <c r="H20" s="25">
        <f t="shared" si="3"/>
        <v>473229.34027777758</v>
      </c>
      <c r="I20" s="25">
        <f t="shared" si="4"/>
        <v>337.00464051641717</v>
      </c>
    </row>
    <row r="21" spans="1:9" x14ac:dyDescent="0.25">
      <c r="A21" s="2">
        <v>17</v>
      </c>
      <c r="B21" s="2">
        <v>17</v>
      </c>
      <c r="C21" s="2">
        <v>2950</v>
      </c>
      <c r="D21" s="38">
        <f t="shared" si="0"/>
        <v>2.8332133440562162</v>
      </c>
      <c r="E21" s="26">
        <f t="shared" si="1"/>
        <v>0.55051628580153578</v>
      </c>
      <c r="F21" s="25">
        <f t="shared" si="2"/>
        <v>727.91666666666652</v>
      </c>
      <c r="G21" s="26">
        <f t="shared" si="3"/>
        <v>0.3030681809327182</v>
      </c>
      <c r="H21" s="25">
        <f t="shared" si="3"/>
        <v>529862.67361111089</v>
      </c>
      <c r="I21" s="25">
        <f t="shared" si="4"/>
        <v>400.72997970636783</v>
      </c>
    </row>
    <row r="22" spans="1:9" x14ac:dyDescent="0.25">
      <c r="A22" s="2">
        <v>18</v>
      </c>
      <c r="B22" s="2">
        <v>18</v>
      </c>
      <c r="C22" s="2">
        <v>2990</v>
      </c>
      <c r="D22" s="38">
        <f t="shared" si="0"/>
        <v>2.8903717578961645</v>
      </c>
      <c r="E22" s="26">
        <f t="shared" si="1"/>
        <v>0.60767469964148413</v>
      </c>
      <c r="F22" s="25">
        <f t="shared" si="2"/>
        <v>767.91666666666652</v>
      </c>
      <c r="G22" s="26">
        <f t="shared" si="3"/>
        <v>0.36926854058436798</v>
      </c>
      <c r="H22" s="25">
        <f t="shared" si="3"/>
        <v>589696.00694444426</v>
      </c>
      <c r="I22" s="25">
        <f t="shared" si="4"/>
        <v>466.64352976635627</v>
      </c>
    </row>
    <row r="23" spans="1:9" x14ac:dyDescent="0.25">
      <c r="A23" s="2">
        <v>19</v>
      </c>
      <c r="B23" s="2">
        <v>19</v>
      </c>
      <c r="C23" s="2">
        <v>3100</v>
      </c>
      <c r="D23" s="38">
        <f t="shared" si="0"/>
        <v>2.9444389791664403</v>
      </c>
      <c r="E23" s="26">
        <f t="shared" si="1"/>
        <v>0.66174192091175987</v>
      </c>
      <c r="F23" s="25">
        <f t="shared" si="2"/>
        <v>877.91666666666652</v>
      </c>
      <c r="G23" s="26">
        <f t="shared" si="3"/>
        <v>0.43790236989198583</v>
      </c>
      <c r="H23" s="25">
        <f t="shared" si="3"/>
        <v>770737.67361111089</v>
      </c>
      <c r="I23" s="25">
        <f t="shared" si="4"/>
        <v>580.95426140044913</v>
      </c>
    </row>
    <row r="24" spans="1:9" x14ac:dyDescent="0.25">
      <c r="A24" s="2">
        <v>20</v>
      </c>
      <c r="B24" s="2">
        <v>20</v>
      </c>
      <c r="C24" s="2">
        <v>3160</v>
      </c>
      <c r="D24" s="38">
        <f t="shared" si="0"/>
        <v>2.9957322735539909</v>
      </c>
      <c r="E24" s="26">
        <f t="shared" si="1"/>
        <v>0.71303521529931047</v>
      </c>
      <c r="F24" s="25">
        <f t="shared" si="2"/>
        <v>937.91666666666652</v>
      </c>
      <c r="G24" s="26">
        <f t="shared" si="3"/>
        <v>0.50841921825693404</v>
      </c>
      <c r="H24" s="25">
        <f t="shared" si="3"/>
        <v>879687.67361111077</v>
      </c>
      <c r="I24" s="25">
        <f t="shared" si="4"/>
        <v>668.76761234947821</v>
      </c>
    </row>
    <row r="25" spans="1:9" x14ac:dyDescent="0.25">
      <c r="A25" s="2">
        <v>21</v>
      </c>
      <c r="B25" s="2">
        <v>21</v>
      </c>
      <c r="C25" s="2">
        <v>3180</v>
      </c>
      <c r="D25" s="38">
        <f t="shared" si="0"/>
        <v>3.044522437723423</v>
      </c>
      <c r="E25" s="26">
        <f t="shared" si="1"/>
        <v>0.76182537946874263</v>
      </c>
      <c r="F25" s="25">
        <f t="shared" si="2"/>
        <v>957.91666666666652</v>
      </c>
      <c r="G25" s="26">
        <f t="shared" si="3"/>
        <v>0.58037790880269369</v>
      </c>
      <c r="H25" s="25">
        <f t="shared" si="3"/>
        <v>917604.34027777752</v>
      </c>
      <c r="I25" s="25">
        <f t="shared" si="4"/>
        <v>729.76522808276627</v>
      </c>
    </row>
    <row r="26" spans="1:9" x14ac:dyDescent="0.25">
      <c r="A26" s="2">
        <v>22</v>
      </c>
      <c r="B26" s="2">
        <v>22</v>
      </c>
      <c r="C26" s="2">
        <v>3190</v>
      </c>
      <c r="D26" s="38">
        <f t="shared" si="0"/>
        <v>3.0910424533583161</v>
      </c>
      <c r="E26" s="26">
        <f t="shared" si="1"/>
        <v>0.80834539510363568</v>
      </c>
      <c r="F26" s="25">
        <f t="shared" si="2"/>
        <v>967.91666666666652</v>
      </c>
      <c r="G26" s="26">
        <f t="shared" si="3"/>
        <v>0.65342227778525286</v>
      </c>
      <c r="H26" s="25">
        <f t="shared" si="3"/>
        <v>936862.67361111077</v>
      </c>
      <c r="I26" s="25">
        <f t="shared" si="4"/>
        <v>782.41098034406059</v>
      </c>
    </row>
    <row r="27" spans="1:9" x14ac:dyDescent="0.25">
      <c r="A27" s="2">
        <v>23</v>
      </c>
      <c r="B27" s="2">
        <v>23</v>
      </c>
      <c r="C27" s="2">
        <v>3200</v>
      </c>
      <c r="D27" s="38">
        <f t="shared" si="0"/>
        <v>3.1354942159291497</v>
      </c>
      <c r="E27" s="26">
        <f t="shared" si="1"/>
        <v>0.85279715767446929</v>
      </c>
      <c r="F27" s="25">
        <f t="shared" si="2"/>
        <v>977.91666666666652</v>
      </c>
      <c r="G27" s="26">
        <f t="shared" si="3"/>
        <v>0.72726299213765366</v>
      </c>
      <c r="H27" s="25">
        <f t="shared" si="3"/>
        <v>956321.00694444415</v>
      </c>
      <c r="I27" s="25">
        <f t="shared" si="4"/>
        <v>833.96455377582458</v>
      </c>
    </row>
    <row r="28" spans="1:9" x14ac:dyDescent="0.25">
      <c r="A28" s="2">
        <v>24</v>
      </c>
      <c r="B28" s="2">
        <v>24</v>
      </c>
      <c r="C28" s="2">
        <v>3220</v>
      </c>
      <c r="D28" s="38">
        <f t="shared" si="0"/>
        <v>3.1780538303479458</v>
      </c>
      <c r="E28" s="26">
        <f t="shared" si="1"/>
        <v>0.89535677209326536</v>
      </c>
      <c r="F28" s="25">
        <f t="shared" si="2"/>
        <v>997.91666666666652</v>
      </c>
      <c r="G28" s="26">
        <f t="shared" si="3"/>
        <v>0.80166374933327156</v>
      </c>
      <c r="H28" s="25">
        <f t="shared" si="3"/>
        <v>995837.67361111077</v>
      </c>
      <c r="I28" s="25">
        <f t="shared" si="4"/>
        <v>893.4914454847376</v>
      </c>
    </row>
    <row r="29" spans="1:9" x14ac:dyDescent="0.25">
      <c r="A29" s="4" t="s">
        <v>3</v>
      </c>
      <c r="B29" s="4"/>
      <c r="C29" s="4">
        <f>SUM(C5:C28)</f>
        <v>53330</v>
      </c>
      <c r="D29" s="39">
        <f>SUM(D5:D28)</f>
        <v>54.784729398112326</v>
      </c>
      <c r="E29" s="23"/>
      <c r="F29" s="23">
        <f t="shared" ref="F29" si="5">D29-$B$33</f>
        <v>-2167.2986039352213</v>
      </c>
      <c r="G29" s="26">
        <f>SUM(G5:G28)</f>
        <v>15.862828837589088</v>
      </c>
      <c r="H29" s="25">
        <f>SUM(H5:H28)</f>
        <v>21976595.833333332</v>
      </c>
      <c r="I29" s="25">
        <f>SUM(I5:I28)</f>
        <v>18395.464980117769</v>
      </c>
    </row>
    <row r="31" spans="1:9" x14ac:dyDescent="0.25">
      <c r="A31" s="7" t="s">
        <v>12</v>
      </c>
      <c r="B31" s="8">
        <f>COUNT(A5:A28)</f>
        <v>24</v>
      </c>
      <c r="G31" s="16"/>
    </row>
    <row r="32" spans="1:9" x14ac:dyDescent="0.25">
      <c r="A32" s="7" t="s">
        <v>60</v>
      </c>
      <c r="B32" s="12">
        <f>AVERAGE(D5:D28)</f>
        <v>2.2826970582546804</v>
      </c>
      <c r="G32" s="16"/>
    </row>
    <row r="33" spans="1:8" x14ac:dyDescent="0.25">
      <c r="A33" s="7" t="s">
        <v>9</v>
      </c>
      <c r="B33" s="12">
        <f>AVERAGE(C5:C28)</f>
        <v>2222.0833333333335</v>
      </c>
      <c r="G33" s="16"/>
    </row>
    <row r="34" spans="1:8" x14ac:dyDescent="0.25">
      <c r="A34" s="6"/>
      <c r="G34" s="17"/>
    </row>
    <row r="35" spans="1:8" x14ac:dyDescent="0.25">
      <c r="A35" s="7" t="s">
        <v>59</v>
      </c>
      <c r="B35" s="12">
        <f>SQRT(G29/B31)</f>
        <v>0.81298905378006903</v>
      </c>
    </row>
    <row r="36" spans="1:8" x14ac:dyDescent="0.25">
      <c r="A36" s="7" t="s">
        <v>10</v>
      </c>
      <c r="B36" s="12">
        <f>SQRT(H29/B31)</f>
        <v>956.91770443207679</v>
      </c>
    </row>
    <row r="37" spans="1:8" x14ac:dyDescent="0.25">
      <c r="A37" s="7" t="s">
        <v>61</v>
      </c>
      <c r="B37" s="28">
        <f>I29/B31</f>
        <v>766.47770750490702</v>
      </c>
      <c r="C37" s="5" t="s">
        <v>18</v>
      </c>
    </row>
    <row r="38" spans="1:8" x14ac:dyDescent="0.25">
      <c r="A38" s="9"/>
      <c r="B38" s="10"/>
      <c r="C38" s="5"/>
    </row>
    <row r="39" spans="1:8" x14ac:dyDescent="0.25">
      <c r="A39" s="9"/>
      <c r="B39" s="10"/>
      <c r="C39" s="5"/>
    </row>
    <row r="40" spans="1:8" x14ac:dyDescent="0.25">
      <c r="A40" s="11" t="s">
        <v>19</v>
      </c>
      <c r="B40" s="10"/>
      <c r="C40" s="5"/>
    </row>
    <row r="41" spans="1:8" x14ac:dyDescent="0.25">
      <c r="A41" s="6"/>
    </row>
    <row r="42" spans="1:8" x14ac:dyDescent="0.25">
      <c r="A42" s="7" t="s">
        <v>14</v>
      </c>
      <c r="B42" s="31">
        <f>B37/(B35*B36)</f>
        <v>0.98523592712416375</v>
      </c>
      <c r="C42" s="5" t="s">
        <v>17</v>
      </c>
    </row>
    <row r="43" spans="1:8" x14ac:dyDescent="0.25">
      <c r="A43" s="6"/>
    </row>
    <row r="44" spans="1:8" x14ac:dyDescent="0.25">
      <c r="A44" s="6"/>
    </row>
    <row r="45" spans="1:8" x14ac:dyDescent="0.25">
      <c r="A45" s="40" t="s">
        <v>37</v>
      </c>
      <c r="B45" s="40"/>
      <c r="D45" s="40" t="s">
        <v>40</v>
      </c>
      <c r="E45" s="40"/>
      <c r="F45" s="40"/>
      <c r="G45" s="40"/>
      <c r="H45" s="40"/>
    </row>
    <row r="46" spans="1:8" x14ac:dyDescent="0.25">
      <c r="A46" s="21" t="s">
        <v>30</v>
      </c>
      <c r="B46" s="32" t="s">
        <v>32</v>
      </c>
      <c r="D46" s="21" t="s">
        <v>35</v>
      </c>
      <c r="E46" s="41" t="s">
        <v>38</v>
      </c>
      <c r="F46" s="41"/>
      <c r="G46" s="41"/>
      <c r="H46" s="41"/>
    </row>
    <row r="47" spans="1:8" x14ac:dyDescent="0.25">
      <c r="A47" s="21" t="s">
        <v>29</v>
      </c>
      <c r="B47" s="32" t="s">
        <v>33</v>
      </c>
      <c r="D47" s="21" t="s">
        <v>36</v>
      </c>
      <c r="E47" s="41" t="s">
        <v>39</v>
      </c>
      <c r="F47" s="41"/>
      <c r="G47" s="41"/>
      <c r="H47" s="41"/>
    </row>
    <row r="48" spans="1:8" x14ac:dyDescent="0.25">
      <c r="A48" s="21" t="s">
        <v>31</v>
      </c>
      <c r="B48" s="32" t="s">
        <v>34</v>
      </c>
    </row>
    <row r="51" spans="1:7" x14ac:dyDescent="0.25">
      <c r="A51" s="14" t="s">
        <v>20</v>
      </c>
      <c r="B51" s="13">
        <f>ROUND(B37/(B35^2),2)</f>
        <v>1159.6600000000001</v>
      </c>
      <c r="C51" s="5" t="s">
        <v>22</v>
      </c>
    </row>
    <row r="54" spans="1:7" x14ac:dyDescent="0.25">
      <c r="A54" s="14" t="s">
        <v>21</v>
      </c>
      <c r="B54" s="13">
        <f>ROUND(B33-(B51*B32),2)</f>
        <v>-425.07</v>
      </c>
      <c r="C54" s="5" t="s">
        <v>23</v>
      </c>
    </row>
    <row r="57" spans="1:7" x14ac:dyDescent="0.25">
      <c r="A57" s="14" t="s">
        <v>24</v>
      </c>
      <c r="B57" s="44" t="str">
        <f>B54 &amp; " + " &amp; B51 &amp; " ln(x)"</f>
        <v>-425.07 + 1159.66 ln(x)</v>
      </c>
      <c r="C57" s="45"/>
      <c r="D57" s="5" t="s">
        <v>62</v>
      </c>
      <c r="G57" t="s">
        <v>66</v>
      </c>
    </row>
    <row r="60" spans="1:7" x14ac:dyDescent="0.25">
      <c r="A60" s="15" t="s">
        <v>26</v>
      </c>
      <c r="B60" s="34">
        <v>25</v>
      </c>
      <c r="C60" s="5" t="str">
        <f>B4 &amp; " (pruebe cambiar éste valor por otros) (variable independiente)."</f>
        <v>Mes (pruebe cambiar éste valor por otros) (variable independiente).</v>
      </c>
    </row>
    <row r="61" spans="1:7" x14ac:dyDescent="0.25">
      <c r="A61" s="15" t="s">
        <v>27</v>
      </c>
      <c r="B61" s="35">
        <f>B54+B51*LN(B60)</f>
        <v>3307.7315390666577</v>
      </c>
      <c r="C61" s="5" t="str">
        <f>C4 &amp; " (pronósticamos éste valor) (variable dependiente)."</f>
        <v>Unidades vendidas (pronósticamos éste valor) (variable dependiente).</v>
      </c>
    </row>
    <row r="65" spans="3:3" x14ac:dyDescent="0.25">
      <c r="C65" s="16"/>
    </row>
  </sheetData>
  <mergeCells count="5">
    <mergeCell ref="A45:B45"/>
    <mergeCell ref="D45:H45"/>
    <mergeCell ref="E46:H46"/>
    <mergeCell ref="E47:H47"/>
    <mergeCell ref="B57:C57"/>
  </mergeCells>
  <printOptions horizontalCentered="1"/>
  <pageMargins left="0.39370078740157483" right="0.39370078740157483" top="0.39370078740157483" bottom="0.39370078740157483" header="0" footer="0"/>
  <pageSetup scale="87" orientation="portrait" horizontalDpi="4294967293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30AD8-FF3B-4460-BD71-32EA2E4849B0}">
  <sheetPr>
    <pageSetUpPr fitToPage="1"/>
  </sheetPr>
  <dimension ref="A1:D23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baseColWidth="10" defaultRowHeight="15" x14ac:dyDescent="0.25"/>
  <cols>
    <col min="1" max="1" width="10.5703125" customWidth="1"/>
    <col min="2" max="3" width="14.7109375" customWidth="1"/>
  </cols>
  <sheetData>
    <row r="1" spans="1:4" x14ac:dyDescent="0.25">
      <c r="A1" s="30" t="s">
        <v>67</v>
      </c>
    </row>
    <row r="3" spans="1:4" x14ac:dyDescent="0.25">
      <c r="B3" s="1" t="s">
        <v>1</v>
      </c>
      <c r="C3" s="1" t="s">
        <v>2</v>
      </c>
      <c r="D3" s="19"/>
    </row>
    <row r="4" spans="1:4" ht="30" x14ac:dyDescent="0.25">
      <c r="A4" s="2" t="s">
        <v>0</v>
      </c>
      <c r="B4" s="3" t="s">
        <v>43</v>
      </c>
      <c r="C4" s="3" t="s">
        <v>44</v>
      </c>
    </row>
    <row r="5" spans="1:4" x14ac:dyDescent="0.25">
      <c r="A5" s="2">
        <v>1</v>
      </c>
      <c r="B5" s="2">
        <v>6</v>
      </c>
      <c r="C5" s="2">
        <v>290</v>
      </c>
    </row>
    <row r="6" spans="1:4" x14ac:dyDescent="0.25">
      <c r="A6" s="2">
        <v>2</v>
      </c>
      <c r="B6" s="2">
        <v>7</v>
      </c>
      <c r="C6" s="2">
        <v>390</v>
      </c>
    </row>
    <row r="7" spans="1:4" x14ac:dyDescent="0.25">
      <c r="A7" s="2">
        <v>3</v>
      </c>
      <c r="B7" s="2">
        <v>8</v>
      </c>
      <c r="C7" s="2">
        <v>450</v>
      </c>
    </row>
    <row r="8" spans="1:4" x14ac:dyDescent="0.25">
      <c r="A8" s="2">
        <v>4</v>
      </c>
      <c r="B8" s="2">
        <v>9</v>
      </c>
      <c r="C8" s="2">
        <v>560</v>
      </c>
    </row>
    <row r="9" spans="1:4" x14ac:dyDescent="0.25">
      <c r="A9" s="2">
        <v>5</v>
      </c>
      <c r="B9" s="2">
        <v>10</v>
      </c>
      <c r="C9" s="2">
        <v>580</v>
      </c>
    </row>
    <row r="10" spans="1:4" x14ac:dyDescent="0.25">
      <c r="A10" s="2">
        <v>6</v>
      </c>
      <c r="B10" s="2">
        <v>11</v>
      </c>
      <c r="C10" s="2">
        <v>690</v>
      </c>
    </row>
    <row r="11" spans="1:4" x14ac:dyDescent="0.25">
      <c r="A11" s="2">
        <v>7</v>
      </c>
      <c r="B11" s="2">
        <v>12</v>
      </c>
      <c r="C11" s="2">
        <v>750</v>
      </c>
    </row>
    <row r="12" spans="1:4" x14ac:dyDescent="0.25">
      <c r="A12" s="2">
        <v>8</v>
      </c>
      <c r="B12" s="2">
        <v>13</v>
      </c>
      <c r="C12" s="2">
        <v>820</v>
      </c>
    </row>
    <row r="13" spans="1:4" x14ac:dyDescent="0.25">
      <c r="A13" s="2">
        <v>9</v>
      </c>
      <c r="B13" s="2">
        <v>14</v>
      </c>
      <c r="C13" s="2">
        <v>990</v>
      </c>
    </row>
    <row r="14" spans="1:4" x14ac:dyDescent="0.25">
      <c r="A14" s="2">
        <v>10</v>
      </c>
      <c r="B14" s="2">
        <v>15</v>
      </c>
      <c r="C14" s="2">
        <v>1120</v>
      </c>
    </row>
    <row r="15" spans="1:4" x14ac:dyDescent="0.25">
      <c r="A15" s="2">
        <v>11</v>
      </c>
      <c r="B15" s="2">
        <v>16</v>
      </c>
      <c r="C15" s="2">
        <v>1240</v>
      </c>
    </row>
    <row r="16" spans="1:4" x14ac:dyDescent="0.25">
      <c r="A16" s="2">
        <v>12</v>
      </c>
      <c r="B16" s="2">
        <v>17</v>
      </c>
      <c r="C16" s="2">
        <v>1430</v>
      </c>
    </row>
    <row r="17" spans="1:3" x14ac:dyDescent="0.25">
      <c r="A17" s="2">
        <v>13</v>
      </c>
      <c r="B17" s="2">
        <v>18</v>
      </c>
      <c r="C17" s="2">
        <v>1600</v>
      </c>
    </row>
    <row r="18" spans="1:3" x14ac:dyDescent="0.25">
      <c r="A18" s="2">
        <v>14</v>
      </c>
      <c r="B18" s="2">
        <v>19</v>
      </c>
      <c r="C18" s="2">
        <v>1780</v>
      </c>
    </row>
    <row r="19" spans="1:3" x14ac:dyDescent="0.25">
      <c r="A19" s="4" t="s">
        <v>3</v>
      </c>
      <c r="B19" s="4"/>
      <c r="C19" s="4"/>
    </row>
    <row r="22" spans="1:3" x14ac:dyDescent="0.25">
      <c r="A22" t="s">
        <v>68</v>
      </c>
    </row>
    <row r="23" spans="1:3" x14ac:dyDescent="0.25">
      <c r="A23" t="s">
        <v>69</v>
      </c>
      <c r="C23" s="16"/>
    </row>
  </sheetData>
  <printOptions horizontalCentered="1"/>
  <pageMargins left="0.39370078740157483" right="0.39370078740157483" top="0.39370078740157483" bottom="0.39370078740157483" header="0" footer="0"/>
  <pageSetup scale="87"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Lineal</vt:lpstr>
      <vt:lpstr>Exponencial</vt:lpstr>
      <vt:lpstr>Logarítmica</vt:lpstr>
      <vt:lpstr>Ejercicio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</dc:creator>
  <cp:lastModifiedBy>A212</cp:lastModifiedBy>
  <cp:lastPrinted>2020-02-08T02:36:31Z</cp:lastPrinted>
  <dcterms:created xsi:type="dcterms:W3CDTF">2014-04-12T17:15:41Z</dcterms:created>
  <dcterms:modified xsi:type="dcterms:W3CDTF">2025-10-11T01:27:58Z</dcterms:modified>
</cp:coreProperties>
</file>